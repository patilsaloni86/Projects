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SALONI PATIL\Documents\"/>
    </mc:Choice>
  </mc:AlternateContent>
  <xr:revisionPtr revIDLastSave="0" documentId="13_ncr:1_{916AFB90-85C2-404B-A9B1-5D070757B10E}" xr6:coauthVersionLast="47" xr6:coauthVersionMax="47" xr10:uidLastSave="{00000000-0000-0000-0000-000000000000}"/>
  <bookViews>
    <workbookView xWindow="-108" yWindow="-108" windowWidth="23256" windowHeight="12456" activeTab="2" xr2:uid="{88227B3C-E0E4-4B1D-B896-04997162E0D0}"/>
  </bookViews>
  <sheets>
    <sheet name="lic_financial_analysis_2024_upd" sheetId="1" r:id="rId1"/>
    <sheet name="pivot tables" sheetId="2" r:id="rId2"/>
    <sheet name="dashboard" sheetId="3" r:id="rId3"/>
  </sheets>
  <definedNames>
    <definedName name="Slicer_Branch">#N/A</definedName>
    <definedName name="Slicer_Month">#N/A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2" l="1"/>
  <c r="G11" i="2"/>
  <c r="O4" i="2"/>
  <c r="O7" i="2"/>
  <c r="O6" i="2"/>
  <c r="O5" i="2"/>
</calcChain>
</file>

<file path=xl/sharedStrings.xml><?xml version="1.0" encoding="utf-8"?>
<sst xmlns="http://schemas.openxmlformats.org/spreadsheetml/2006/main" count="1291" uniqueCount="62">
  <si>
    <t>Branch</t>
  </si>
  <si>
    <t>Product</t>
  </si>
  <si>
    <t>Month</t>
  </si>
  <si>
    <t>Policies Sold</t>
  </si>
  <si>
    <t>Premium Collected (in Lakhs)</t>
  </si>
  <si>
    <t>Claims Settled</t>
  </si>
  <si>
    <t>Claims Amount Paid (in Lakhs)</t>
  </si>
  <si>
    <t>Market Share (%)</t>
  </si>
  <si>
    <t>Performance Rating</t>
  </si>
  <si>
    <t>Renewal Policies Sold</t>
  </si>
  <si>
    <t>Renewal Premium Collected (in Lakhs)</t>
  </si>
  <si>
    <t>New Customers Acquired</t>
  </si>
  <si>
    <t>Customer Retention Rate (%)</t>
  </si>
  <si>
    <t>Claim Settlement Ratio (%)</t>
  </si>
  <si>
    <t>Agent Count</t>
  </si>
  <si>
    <t>Branch Performance Index</t>
  </si>
  <si>
    <t>Mumbai</t>
  </si>
  <si>
    <t>ULIP</t>
  </si>
  <si>
    <t>November</t>
  </si>
  <si>
    <t>Excellent</t>
  </si>
  <si>
    <t>Ahmedabad</t>
  </si>
  <si>
    <t>Term Insurance</t>
  </si>
  <si>
    <t>December</t>
  </si>
  <si>
    <t>Child Plan</t>
  </si>
  <si>
    <t>April</t>
  </si>
  <si>
    <t>Good</t>
  </si>
  <si>
    <t>Delhi</t>
  </si>
  <si>
    <t>Endowment Plan</t>
  </si>
  <si>
    <t>October</t>
  </si>
  <si>
    <t>Average</t>
  </si>
  <si>
    <t>Pension Plan</t>
  </si>
  <si>
    <t>Below Average</t>
  </si>
  <si>
    <t>May</t>
  </si>
  <si>
    <t>Money Back Plan</t>
  </si>
  <si>
    <t>June</t>
  </si>
  <si>
    <t>March</t>
  </si>
  <si>
    <t>Chennai</t>
  </si>
  <si>
    <t>July</t>
  </si>
  <si>
    <t>Kolkata</t>
  </si>
  <si>
    <t>February</t>
  </si>
  <si>
    <t>August</t>
  </si>
  <si>
    <t>Bangalore</t>
  </si>
  <si>
    <t>Hyderabad</t>
  </si>
  <si>
    <t>Pune</t>
  </si>
  <si>
    <t>January</t>
  </si>
  <si>
    <t>September</t>
  </si>
  <si>
    <t>Row Labels</t>
  </si>
  <si>
    <t>Grand Total</t>
  </si>
  <si>
    <t>Sum of Claims Settled</t>
  </si>
  <si>
    <t>Sum of Claims Amount Paid (in Lakhs)</t>
  </si>
  <si>
    <t>Sum of Agent Count</t>
  </si>
  <si>
    <t>Sum of Premium Collected (in Lakhs)</t>
  </si>
  <si>
    <t>Sum of Policies Sold</t>
  </si>
  <si>
    <t>Average of Branch Performance Index</t>
  </si>
  <si>
    <t>Average of Market Share (%)</t>
  </si>
  <si>
    <t>Sum of Customer Retention Rate (%)</t>
  </si>
  <si>
    <t>Sum of New Customers Acquired</t>
  </si>
  <si>
    <t>KPIs</t>
  </si>
  <si>
    <t>Total policies sold</t>
  </si>
  <si>
    <t>Total premium collected</t>
  </si>
  <si>
    <t>Average retention rate</t>
  </si>
  <si>
    <t>Average claim settlement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</si>
</sst>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8"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wrapText="1"/>
    </dxf>
    <dxf>
      <alignment wrapText="1"/>
    </dxf>
    <dxf>
      <alignment wrapText="1"/>
    </dxf>
    <dxf>
      <alignment wrapText="1"/>
    </dxf>
    <dxf>
      <font>
        <sz val="14"/>
        <name val="Tw Cen MT"/>
        <family val="2"/>
        <scheme val="major"/>
      </font>
      <fill>
        <patternFill>
          <bgColor theme="9" tint="0.7999816888943144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1" xr9:uid="{D8F46EAE-46F6-4D2C-9E65-75C0172F4682}">
      <tableStyleElement type="wholeTable" dxfId="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[LIC_updated.xlsx]pivot tables!claims_anly</c:name>
    <c:fmtId val="3"/>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N" sz="2400" b="1" baseline="0"/>
              <a:t>Claims analysis</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03931885372366"/>
          <c:y val="0.17207176384206421"/>
          <c:w val="0.84859473597010482"/>
          <c:h val="0.47700004997482037"/>
        </c:manualLayout>
      </c:layout>
      <c:bar3DChart>
        <c:barDir val="col"/>
        <c:grouping val="clustered"/>
        <c:varyColors val="0"/>
        <c:ser>
          <c:idx val="0"/>
          <c:order val="0"/>
          <c:tx>
            <c:strRef>
              <c:f>'pivot tables'!$C$2</c:f>
              <c:strCache>
                <c:ptCount val="1"/>
                <c:pt idx="0">
                  <c:v>Sum of Claims Settled</c:v>
                </c:pt>
              </c:strCache>
            </c:strRef>
          </c:tx>
          <c:spPr>
            <a:solidFill>
              <a:schemeClr val="accent1"/>
            </a:solidFill>
            <a:ln>
              <a:noFill/>
            </a:ln>
            <a:effectLst/>
            <a:sp3d/>
          </c:spPr>
          <c:invertIfNegative val="0"/>
          <c:cat>
            <c:strRef>
              <c:f>'pivot tables'!$B$3:$B$11</c:f>
              <c:strCache>
                <c:ptCount val="8"/>
                <c:pt idx="0">
                  <c:v>Ahmedabad</c:v>
                </c:pt>
                <c:pt idx="1">
                  <c:v>Bangalore</c:v>
                </c:pt>
                <c:pt idx="2">
                  <c:v>Chennai</c:v>
                </c:pt>
                <c:pt idx="3">
                  <c:v>Delhi</c:v>
                </c:pt>
                <c:pt idx="4">
                  <c:v>Hyderabad</c:v>
                </c:pt>
                <c:pt idx="5">
                  <c:v>Kolkata</c:v>
                </c:pt>
                <c:pt idx="6">
                  <c:v>Mumbai</c:v>
                </c:pt>
                <c:pt idx="7">
                  <c:v>Pune</c:v>
                </c:pt>
              </c:strCache>
            </c:strRef>
          </c:cat>
          <c:val>
            <c:numRef>
              <c:f>'pivot tables'!$C$3:$C$11</c:f>
              <c:numCache>
                <c:formatCode>General</c:formatCode>
                <c:ptCount val="8"/>
                <c:pt idx="0">
                  <c:v>11136</c:v>
                </c:pt>
                <c:pt idx="1">
                  <c:v>7813</c:v>
                </c:pt>
                <c:pt idx="2">
                  <c:v>12920</c:v>
                </c:pt>
                <c:pt idx="3">
                  <c:v>8635</c:v>
                </c:pt>
                <c:pt idx="4">
                  <c:v>8764</c:v>
                </c:pt>
                <c:pt idx="5">
                  <c:v>8681</c:v>
                </c:pt>
                <c:pt idx="6">
                  <c:v>8612</c:v>
                </c:pt>
                <c:pt idx="7">
                  <c:v>8841</c:v>
                </c:pt>
              </c:numCache>
            </c:numRef>
          </c:val>
          <c:extLst>
            <c:ext xmlns:c16="http://schemas.microsoft.com/office/drawing/2014/chart" uri="{C3380CC4-5D6E-409C-BE32-E72D297353CC}">
              <c16:uniqueId val="{00000000-517C-4D13-BA78-BA577F13317A}"/>
            </c:ext>
          </c:extLst>
        </c:ser>
        <c:ser>
          <c:idx val="1"/>
          <c:order val="1"/>
          <c:tx>
            <c:strRef>
              <c:f>'pivot tables'!$D$2</c:f>
              <c:strCache>
                <c:ptCount val="1"/>
                <c:pt idx="0">
                  <c:v>Sum of Claims Amount Paid (in Lakhs)</c:v>
                </c:pt>
              </c:strCache>
            </c:strRef>
          </c:tx>
          <c:spPr>
            <a:solidFill>
              <a:schemeClr val="accent2"/>
            </a:solidFill>
            <a:ln>
              <a:noFill/>
            </a:ln>
            <a:effectLst/>
            <a:sp3d/>
          </c:spPr>
          <c:invertIfNegative val="0"/>
          <c:cat>
            <c:strRef>
              <c:f>'pivot tables'!$B$3:$B$11</c:f>
              <c:strCache>
                <c:ptCount val="8"/>
                <c:pt idx="0">
                  <c:v>Ahmedabad</c:v>
                </c:pt>
                <c:pt idx="1">
                  <c:v>Bangalore</c:v>
                </c:pt>
                <c:pt idx="2">
                  <c:v>Chennai</c:v>
                </c:pt>
                <c:pt idx="3">
                  <c:v>Delhi</c:v>
                </c:pt>
                <c:pt idx="4">
                  <c:v>Hyderabad</c:v>
                </c:pt>
                <c:pt idx="5">
                  <c:v>Kolkata</c:v>
                </c:pt>
                <c:pt idx="6">
                  <c:v>Mumbai</c:v>
                </c:pt>
                <c:pt idx="7">
                  <c:v>Pune</c:v>
                </c:pt>
              </c:strCache>
            </c:strRef>
          </c:cat>
          <c:val>
            <c:numRef>
              <c:f>'pivot tables'!$D$3:$D$11</c:f>
              <c:numCache>
                <c:formatCode>General</c:formatCode>
                <c:ptCount val="8"/>
                <c:pt idx="0">
                  <c:v>10576.329999999996</c:v>
                </c:pt>
                <c:pt idx="1">
                  <c:v>6413.91</c:v>
                </c:pt>
                <c:pt idx="2">
                  <c:v>11790.22</c:v>
                </c:pt>
                <c:pt idx="3">
                  <c:v>9210.5099999999984</c:v>
                </c:pt>
                <c:pt idx="4">
                  <c:v>10318.629999999997</c:v>
                </c:pt>
                <c:pt idx="5">
                  <c:v>8188.54</c:v>
                </c:pt>
                <c:pt idx="6">
                  <c:v>7088.64</c:v>
                </c:pt>
                <c:pt idx="7">
                  <c:v>10337.130000000003</c:v>
                </c:pt>
              </c:numCache>
            </c:numRef>
          </c:val>
          <c:extLst>
            <c:ext xmlns:c16="http://schemas.microsoft.com/office/drawing/2014/chart" uri="{C3380CC4-5D6E-409C-BE32-E72D297353CC}">
              <c16:uniqueId val="{00000001-517C-4D13-BA78-BA577F13317A}"/>
            </c:ext>
          </c:extLst>
        </c:ser>
        <c:dLbls>
          <c:showLegendKey val="0"/>
          <c:showVal val="0"/>
          <c:showCatName val="0"/>
          <c:showSerName val="0"/>
          <c:showPercent val="0"/>
          <c:showBubbleSize val="0"/>
        </c:dLbls>
        <c:gapWidth val="150"/>
        <c:shape val="box"/>
        <c:axId val="159879136"/>
        <c:axId val="159878176"/>
        <c:axId val="0"/>
      </c:bar3DChart>
      <c:catAx>
        <c:axId val="159879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9878176"/>
        <c:crosses val="autoZero"/>
        <c:auto val="1"/>
        <c:lblAlgn val="ctr"/>
        <c:lblOffset val="100"/>
        <c:noMultiLvlLbl val="0"/>
      </c:catAx>
      <c:valAx>
        <c:axId val="15987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79136"/>
        <c:crosses val="autoZero"/>
        <c:crossBetween val="between"/>
      </c:valAx>
      <c:spPr>
        <a:noFill/>
        <a:ln>
          <a:noFill/>
        </a:ln>
        <a:effectLst/>
      </c:spPr>
    </c:plotArea>
    <c:legend>
      <c:legendPos val="b"/>
      <c:layout>
        <c:manualLayout>
          <c:xMode val="edge"/>
          <c:yMode val="edge"/>
          <c:x val="0.15685738170281774"/>
          <c:y val="0.83893555140978748"/>
          <c:w val="0.68628503966624621"/>
          <c:h val="0.1403718156563393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[LIC_updated.xlsx]pivot tables!agent_contri</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2000" b="1" baseline="0"/>
              <a:t>Agent contribution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a:softEdge rad="0"/>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tables'!$G$2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2C-428A-9120-726EA058813C}"/>
              </c:ext>
            </c:extLst>
          </c:dPt>
          <c:dPt>
            <c:idx val="1"/>
            <c:bubble3D val="0"/>
            <c:spPr>
              <a:solidFill>
                <a:schemeClr val="accent3"/>
              </a:solidFill>
              <a:ln w="19050">
                <a:solidFill>
                  <a:schemeClr val="lt1"/>
                </a:solidFill>
              </a:ln>
              <a:effectLst>
                <a:softEdge rad="0"/>
              </a:effectLst>
            </c:spPr>
            <c:extLst>
              <c:ext xmlns:c16="http://schemas.microsoft.com/office/drawing/2014/chart" uri="{C3380CC4-5D6E-409C-BE32-E72D297353CC}">
                <c16:uniqueId val="{00000003-8A2C-428A-9120-726EA058813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A2C-428A-9120-726EA058813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8A2C-428A-9120-726EA058813C}"/>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A2C-428A-9120-726EA058813C}"/>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8A2C-428A-9120-726EA058813C}"/>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8A2C-428A-9120-726EA058813C}"/>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8A2C-428A-9120-726EA058813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tables'!$F$3:$F$10</c:f>
              <c:strCache>
                <c:ptCount val="8"/>
                <c:pt idx="0">
                  <c:v>Ahmedabad</c:v>
                </c:pt>
                <c:pt idx="1">
                  <c:v>Bangalore</c:v>
                </c:pt>
                <c:pt idx="2">
                  <c:v>Chennai</c:v>
                </c:pt>
                <c:pt idx="3">
                  <c:v>Delhi</c:v>
                </c:pt>
                <c:pt idx="4">
                  <c:v>Hyderabad</c:v>
                </c:pt>
                <c:pt idx="5">
                  <c:v>Kolkata</c:v>
                </c:pt>
                <c:pt idx="6">
                  <c:v>Mumbai</c:v>
                </c:pt>
                <c:pt idx="7">
                  <c:v>Pune</c:v>
                </c:pt>
              </c:strCache>
            </c:strRef>
          </c:cat>
          <c:val>
            <c:numRef>
              <c:f>'pivot tables'!$G$3:$G$10</c:f>
              <c:numCache>
                <c:formatCode>General</c:formatCode>
                <c:ptCount val="8"/>
                <c:pt idx="0">
                  <c:v>12293</c:v>
                </c:pt>
                <c:pt idx="1">
                  <c:v>7689</c:v>
                </c:pt>
                <c:pt idx="2">
                  <c:v>10489</c:v>
                </c:pt>
                <c:pt idx="3">
                  <c:v>11336</c:v>
                </c:pt>
                <c:pt idx="4">
                  <c:v>9415</c:v>
                </c:pt>
                <c:pt idx="5">
                  <c:v>11541</c:v>
                </c:pt>
                <c:pt idx="6">
                  <c:v>8709</c:v>
                </c:pt>
                <c:pt idx="7">
                  <c:v>9195</c:v>
                </c:pt>
              </c:numCache>
            </c:numRef>
          </c:val>
          <c:extLst>
            <c:ext xmlns:c16="http://schemas.microsoft.com/office/drawing/2014/chart" uri="{C3380CC4-5D6E-409C-BE32-E72D297353CC}">
              <c16:uniqueId val="{00000010-8A2C-428A-9120-726EA058813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[LIC_updated.xlsx]pivot tables!pdtvspol</c:name>
    <c:fmtId val="3"/>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2000" b="1" baseline="0"/>
              <a:t>Productwise policies sold</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3"/>
          </a:solidFill>
          <a:ln w="19050">
            <a:solidFill>
              <a:schemeClr val="lt1"/>
            </a:solidFill>
          </a:ln>
          <a:effectLst/>
        </c:spPr>
        <c:dLbl>
          <c:idx val="0"/>
          <c:layout>
            <c:manualLayout>
              <c:x val="5.833333333333323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2"/>
          </a:solidFill>
          <a:ln w="19050">
            <a:solidFill>
              <a:schemeClr val="lt1"/>
            </a:solidFill>
          </a:ln>
          <a:effectLst/>
        </c:spPr>
        <c:dLbl>
          <c:idx val="0"/>
          <c:layout>
            <c:manualLayout>
              <c:x val="1.66666666666665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5"/>
          </a:solidFill>
          <a:ln w="19050">
            <a:solidFill>
              <a:schemeClr val="lt1"/>
            </a:solidFill>
          </a:ln>
          <a:effectLst/>
        </c:spPr>
        <c:dLbl>
          <c:idx val="0"/>
          <c:layout>
            <c:manualLayout>
              <c:x val="-5.8333333333333362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1.66666666666665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5.833333333333323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5.8333333333333362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solidFill>
            <a:schemeClr val="accent1"/>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spPr>
          <a:solidFill>
            <a:schemeClr val="accent1"/>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1"/>
        <c:spPr>
          <a:solidFill>
            <a:schemeClr val="accent1"/>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8"/>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5"/>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2"/>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9"/>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6"/>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3"/>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0"/>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7"/>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4"/>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[VALUE]</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1"/>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54603</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8"/>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54603</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5"/>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54603</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2"/>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54603</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9"/>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dLbl>
          <c:idx val="0"/>
          <c:layout>
            <c:manualLayout>
              <c:x val="6.4108912557077846E-2"/>
              <c:y val="-6.6270484959805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2"/>
          </a:solidFill>
          <a:ln w="19050">
            <a:solidFill>
              <a:schemeClr val="lt1"/>
            </a:solidFill>
          </a:ln>
          <a:effectLst/>
        </c:spPr>
        <c:dLbl>
          <c:idx val="0"/>
          <c:layout>
            <c:manualLayout>
              <c:x val="7.6320133996521239E-2"/>
              <c:y val="-0.26034833377066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3"/>
          </a:solidFill>
          <a:ln w="19050">
            <a:solidFill>
              <a:schemeClr val="lt1"/>
            </a:solidFill>
          </a:ln>
          <a:effectLst/>
        </c:spPr>
        <c:dLbl>
          <c:idx val="0"/>
          <c:layout>
            <c:manualLayout>
              <c:x val="8.8531355435964645E-2"/>
              <c:y val="8.047130316547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4"/>
          </a:solidFill>
          <a:ln w="19050">
            <a:solidFill>
              <a:schemeClr val="lt1"/>
            </a:solidFill>
          </a:ln>
          <a:effectLst/>
        </c:spPr>
        <c:dLbl>
          <c:idx val="0"/>
          <c:layout>
            <c:manualLayout>
              <c:x val="-0.13737624119373823"/>
              <c:y val="9.46721213711504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5"/>
          </a:solidFill>
          <a:ln w="19050">
            <a:solidFill>
              <a:schemeClr val="lt1"/>
            </a:solidFill>
          </a:ln>
          <a:effectLst/>
        </c:spPr>
        <c:dLbl>
          <c:idx val="0"/>
          <c:layout>
            <c:manualLayout>
              <c:x val="-0.10074257687540808"/>
              <c:y val="-1.42008182056725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54603</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6"/>
        <c:spPr>
          <a:solidFill>
            <a:schemeClr val="accent6"/>
          </a:solidFill>
          <a:ln w="19050">
            <a:solidFill>
              <a:schemeClr val="lt1"/>
            </a:solidFill>
          </a:ln>
          <a:effectLst/>
        </c:spPr>
        <c:dLbl>
          <c:idx val="0"/>
          <c:layout>
            <c:manualLayout>
              <c:x val="-8.2425744716242949E-2"/>
              <c:y val="-5.6803272822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8"/>
        <c:spPr>
          <a:solidFill>
            <a:schemeClr val="accent1"/>
          </a:solidFill>
          <a:ln w="19050">
            <a:solidFill>
              <a:schemeClr val="lt1"/>
            </a:solidFill>
          </a:ln>
          <a:effectLst/>
        </c:spPr>
      </c:pivotFmt>
      <c:pivotFmt>
        <c:idx val="139"/>
        <c:spPr>
          <a:solidFill>
            <a:schemeClr val="accent2"/>
          </a:solidFill>
          <a:ln w="19050">
            <a:solidFill>
              <a:schemeClr val="lt1"/>
            </a:solidFill>
          </a:ln>
          <a:effectLst/>
        </c:spPr>
      </c:pivotFmt>
      <c:pivotFmt>
        <c:idx val="140"/>
        <c:spPr>
          <a:solidFill>
            <a:schemeClr val="accent3"/>
          </a:solidFill>
          <a:ln w="19050">
            <a:solidFill>
              <a:schemeClr val="lt1"/>
            </a:solidFill>
          </a:ln>
          <a:effectLst/>
        </c:spPr>
      </c:pivotFmt>
      <c:pivotFmt>
        <c:idx val="141"/>
        <c:spPr>
          <a:solidFill>
            <a:schemeClr val="accent4"/>
          </a:solidFill>
          <a:ln w="19050">
            <a:solidFill>
              <a:schemeClr val="lt1"/>
            </a:solidFill>
          </a:ln>
          <a:effectLst/>
        </c:spPr>
      </c:pivotFmt>
      <c:pivotFmt>
        <c:idx val="142"/>
        <c:spPr>
          <a:solidFill>
            <a:schemeClr val="accent5"/>
          </a:solidFill>
          <a:ln w="19050">
            <a:solidFill>
              <a:schemeClr val="lt1"/>
            </a:solidFill>
          </a:ln>
          <a:effectLst/>
        </c:spPr>
      </c:pivotFmt>
      <c:pivotFmt>
        <c:idx val="143"/>
        <c:spPr>
          <a:solidFill>
            <a:schemeClr val="accent6"/>
          </a:solidFill>
          <a:ln w="19050">
            <a:solidFill>
              <a:schemeClr val="lt1"/>
            </a:solidFill>
          </a:ln>
          <a:effectLst/>
        </c:spPr>
      </c:pivotFmt>
      <c:pivotFmt>
        <c:idx val="144"/>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5"/>
        <c:spPr>
          <a:solidFill>
            <a:schemeClr val="accent1"/>
          </a:solidFill>
          <a:ln w="19050">
            <a:solidFill>
              <a:schemeClr val="lt1"/>
            </a:solidFill>
          </a:ln>
          <a:effectLst/>
        </c:spPr>
      </c:pivotFmt>
      <c:pivotFmt>
        <c:idx val="146"/>
        <c:spPr>
          <a:solidFill>
            <a:schemeClr val="accent2"/>
          </a:solidFill>
          <a:ln w="19050">
            <a:solidFill>
              <a:schemeClr val="lt1"/>
            </a:solidFill>
          </a:ln>
          <a:effectLst/>
        </c:spPr>
      </c:pivotFmt>
      <c:pivotFmt>
        <c:idx val="147"/>
        <c:spPr>
          <a:solidFill>
            <a:schemeClr val="accent3"/>
          </a:solidFill>
          <a:ln w="19050">
            <a:solidFill>
              <a:schemeClr val="lt1"/>
            </a:solidFill>
          </a:ln>
          <a:effectLst/>
        </c:spPr>
      </c:pivotFmt>
      <c:pivotFmt>
        <c:idx val="148"/>
        <c:spPr>
          <a:solidFill>
            <a:schemeClr val="accent4"/>
          </a:solidFill>
          <a:ln w="19050">
            <a:solidFill>
              <a:schemeClr val="lt1"/>
            </a:solidFill>
          </a:ln>
          <a:effectLst/>
        </c:spPr>
      </c:pivotFmt>
      <c:pivotFmt>
        <c:idx val="149"/>
        <c:spPr>
          <a:solidFill>
            <a:schemeClr val="accent5"/>
          </a:solidFill>
          <a:ln w="19050">
            <a:solidFill>
              <a:schemeClr val="lt1"/>
            </a:solidFill>
          </a:ln>
          <a:effectLst/>
        </c:spPr>
      </c:pivotFmt>
      <c:pivotFmt>
        <c:idx val="150"/>
        <c:spPr>
          <a:solidFill>
            <a:schemeClr val="accent6"/>
          </a:solidFill>
          <a:ln w="19050">
            <a:solidFill>
              <a:schemeClr val="lt1"/>
            </a:solidFill>
          </a:ln>
          <a:effectLst/>
        </c:spPr>
      </c:pivotFmt>
      <c:pivotFmt>
        <c:idx val="151"/>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2"/>
        <c:spPr>
          <a:solidFill>
            <a:schemeClr val="accent1"/>
          </a:solidFill>
          <a:ln w="19050">
            <a:solidFill>
              <a:schemeClr val="lt1"/>
            </a:solidFill>
          </a:ln>
          <a:effectLst/>
        </c:spPr>
      </c:pivotFmt>
      <c:pivotFmt>
        <c:idx val="153"/>
        <c:spPr>
          <a:solidFill>
            <a:schemeClr val="accent2"/>
          </a:solidFill>
          <a:ln w="19050">
            <a:solidFill>
              <a:schemeClr val="lt1"/>
            </a:solidFill>
          </a:ln>
          <a:effectLst/>
        </c:spPr>
      </c:pivotFmt>
      <c:pivotFmt>
        <c:idx val="154"/>
        <c:spPr>
          <a:solidFill>
            <a:schemeClr val="accent3"/>
          </a:solidFill>
          <a:ln w="19050">
            <a:solidFill>
              <a:schemeClr val="lt1"/>
            </a:solidFill>
          </a:ln>
          <a:effectLst/>
        </c:spPr>
      </c:pivotFmt>
      <c:pivotFmt>
        <c:idx val="155"/>
        <c:spPr>
          <a:solidFill>
            <a:schemeClr val="accent4"/>
          </a:solidFill>
          <a:ln w="19050">
            <a:solidFill>
              <a:schemeClr val="lt1"/>
            </a:solidFill>
          </a:ln>
          <a:effectLst/>
        </c:spPr>
      </c:pivotFmt>
      <c:pivotFmt>
        <c:idx val="156"/>
        <c:spPr>
          <a:solidFill>
            <a:schemeClr val="accent5"/>
          </a:solidFill>
          <a:ln w="19050">
            <a:solidFill>
              <a:schemeClr val="lt1"/>
            </a:solidFill>
          </a:ln>
          <a:effectLst/>
        </c:spPr>
      </c:pivotFmt>
      <c:pivotFmt>
        <c:idx val="157"/>
        <c:spPr>
          <a:solidFill>
            <a:schemeClr val="accent6"/>
          </a:solidFill>
          <a:ln w="19050">
            <a:solidFill>
              <a:schemeClr val="lt1"/>
            </a:solidFill>
          </a:ln>
          <a:effectLst/>
        </c:spPr>
      </c:pivotFmt>
      <c:pivotFmt>
        <c:idx val="15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9"/>
        <c:spPr>
          <a:solidFill>
            <a:schemeClr val="accent1"/>
          </a:solidFill>
          <a:ln w="19050">
            <a:solidFill>
              <a:schemeClr val="lt1"/>
            </a:solidFill>
          </a:ln>
          <a:effectLst/>
        </c:spPr>
      </c:pivotFmt>
      <c:pivotFmt>
        <c:idx val="160"/>
        <c:spPr>
          <a:solidFill>
            <a:schemeClr val="accent2"/>
          </a:solidFill>
          <a:ln w="19050">
            <a:solidFill>
              <a:schemeClr val="lt1"/>
            </a:solidFill>
          </a:ln>
          <a:effectLst/>
        </c:spPr>
      </c:pivotFmt>
      <c:pivotFmt>
        <c:idx val="161"/>
        <c:spPr>
          <a:solidFill>
            <a:schemeClr val="accent3"/>
          </a:solidFill>
          <a:ln w="19050">
            <a:solidFill>
              <a:schemeClr val="lt1"/>
            </a:solidFill>
          </a:ln>
          <a:effectLst/>
        </c:spPr>
      </c:pivotFmt>
      <c:pivotFmt>
        <c:idx val="162"/>
        <c:spPr>
          <a:solidFill>
            <a:schemeClr val="accent4"/>
          </a:solidFill>
          <a:ln w="19050">
            <a:solidFill>
              <a:schemeClr val="lt1"/>
            </a:solidFill>
          </a:ln>
          <a:effectLst/>
        </c:spPr>
      </c:pivotFmt>
      <c:pivotFmt>
        <c:idx val="163"/>
        <c:spPr>
          <a:solidFill>
            <a:schemeClr val="accent5"/>
          </a:solidFill>
          <a:ln w="19050">
            <a:solidFill>
              <a:schemeClr val="lt1"/>
            </a:solidFill>
          </a:ln>
          <a:effectLst/>
        </c:spPr>
      </c:pivotFmt>
      <c:pivotFmt>
        <c:idx val="164"/>
        <c:spPr>
          <a:solidFill>
            <a:schemeClr val="accent6"/>
          </a:solidFill>
          <a:ln w="19050">
            <a:solidFill>
              <a:schemeClr val="lt1"/>
            </a:solidFill>
          </a:ln>
          <a:effectLst/>
        </c:spPr>
      </c:pivotFmt>
    </c:pivotFmts>
    <c:plotArea>
      <c:layout>
        <c:manualLayout>
          <c:layoutTarget val="inner"/>
          <c:xMode val="edge"/>
          <c:yMode val="edge"/>
          <c:x val="0.19464331378126784"/>
          <c:y val="0.11693857242101184"/>
          <c:w val="0.63009072412527933"/>
          <c:h val="0.84376507959634073"/>
        </c:manualLayout>
      </c:layout>
      <c:doughnutChart>
        <c:varyColors val="1"/>
        <c:ser>
          <c:idx val="0"/>
          <c:order val="0"/>
          <c:tx>
            <c:strRef>
              <c:f>'pivot tables'!$G$17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7392-447E-90A0-B39C2A5E31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7392-447E-90A0-B39C2A5E31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7392-447E-90A0-B39C2A5E31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7392-447E-90A0-B39C2A5E31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7392-447E-90A0-B39C2A5E31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7392-447E-90A0-B39C2A5E31FC}"/>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tables'!$F$18:$F$24</c:f>
              <c:strCache>
                <c:ptCount val="6"/>
                <c:pt idx="0">
                  <c:v>Child Plan</c:v>
                </c:pt>
                <c:pt idx="1">
                  <c:v>Endowment Plan</c:v>
                </c:pt>
                <c:pt idx="2">
                  <c:v>Money Back Plan</c:v>
                </c:pt>
                <c:pt idx="3">
                  <c:v>Pension Plan</c:v>
                </c:pt>
                <c:pt idx="4">
                  <c:v>Term Insurance</c:v>
                </c:pt>
                <c:pt idx="5">
                  <c:v>ULIP</c:v>
                </c:pt>
              </c:strCache>
            </c:strRef>
          </c:cat>
          <c:val>
            <c:numRef>
              <c:f>'pivot tables'!$G$18:$G$24</c:f>
              <c:numCache>
                <c:formatCode>General</c:formatCode>
                <c:ptCount val="6"/>
                <c:pt idx="0">
                  <c:v>42670</c:v>
                </c:pt>
                <c:pt idx="1">
                  <c:v>57593</c:v>
                </c:pt>
                <c:pt idx="2">
                  <c:v>47851</c:v>
                </c:pt>
                <c:pt idx="3">
                  <c:v>55218</c:v>
                </c:pt>
                <c:pt idx="4">
                  <c:v>54603</c:v>
                </c:pt>
                <c:pt idx="5">
                  <c:v>54550</c:v>
                </c:pt>
              </c:numCache>
            </c:numRef>
          </c:val>
          <c:extLst>
            <c:ext xmlns:c16="http://schemas.microsoft.com/office/drawing/2014/chart" uri="{C3380CC4-5D6E-409C-BE32-E72D297353CC}">
              <c16:uniqueId val="{00000019-7392-447E-90A0-B39C2A5E31FC}"/>
            </c:ext>
          </c:extLst>
        </c:ser>
        <c:dLbls>
          <c:showLegendKey val="0"/>
          <c:showVal val="0"/>
          <c:showCatName val="0"/>
          <c:showSerName val="0"/>
          <c:showPercent val="0"/>
          <c:showBubbleSize val="0"/>
          <c:showLeaderLines val="0"/>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[LIC_updated.xlsx]pivot tables!mon_trend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Premium</a:t>
            </a:r>
            <a:r>
              <a:rPr lang="en-IN" sz="1800" b="1" baseline="0"/>
              <a:t> Analysis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9.446181292004005E-2"/>
              <c:y val="1.81743238351552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layout>
            <c:manualLayout>
              <c:x val="-8.3344007630459099E-2"/>
              <c:y val="-3.54548284653030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layout>
            <c:manualLayout>
              <c:x val="-6.6116564099751737E-2"/>
              <c:y val="-8.3125186065710496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6FA4F123-CCEB-4899-ABF2-5EDC30EED329}" type="VALUE">
                  <a:rPr lang="en-US" sz="1200" baseline="0"/>
                  <a:pPr>
                    <a:defRPr sz="12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28575" cap="rnd">
            <a:solidFill>
              <a:schemeClr val="accent6"/>
            </a:solidFill>
            <a:round/>
          </a:ln>
          <a:effectLst/>
        </c:spPr>
        <c:marker>
          <c:symbol val="none"/>
        </c:marker>
        <c:dLbl>
          <c:idx val="0"/>
          <c:layout>
            <c:manualLayout>
              <c:x val="-7.3499754184340668E-2"/>
              <c:y val="2.11537211851806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layout>
            <c:manualLayout>
              <c:x val="-0.11041570460728506"/>
              <c:y val="-2.6516636415226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layout>
            <c:manualLayout>
              <c:x val="-5.8733374015162862E-2"/>
              <c:y val="3.903010528533354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layout>
            <c:manualLayout>
              <c:x val="-3.4122740399866597E-2"/>
              <c:y val="-4.439302051537943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none"/>
        </c:marker>
        <c:dLbl>
          <c:idx val="0"/>
          <c:layout>
            <c:manualLayout>
              <c:x val="-9.0727197715048002E-2"/>
              <c:y val="2.711251588523173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none"/>
        </c:marker>
        <c:dLbl>
          <c:idx val="0"/>
          <c:layout>
            <c:manualLayout>
              <c:x val="-8.6350380621858392E-4"/>
              <c:y val="-3.545482846530315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5"/>
            </a:solidFill>
            <a:round/>
          </a:ln>
          <a:effectLst/>
        </c:spPr>
        <c:marker>
          <c:symbol val="none"/>
        </c:marker>
        <c:dLbl>
          <c:idx val="0"/>
          <c:layout>
            <c:manualLayout>
              <c:x val="-7.0730961010361471E-2"/>
              <c:y val="3.71455778118883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solidFill>
            <a:round/>
          </a:ln>
          <a:effectLst/>
        </c:spPr>
        <c:marker>
          <c:symbol val="none"/>
        </c:marker>
        <c:dLbl>
          <c:idx val="0"/>
          <c:layout>
            <c:manualLayout>
              <c:x val="-6.3347770925772581E-2"/>
              <c:y val="3.41661804618628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solidFill>
            <a:round/>
          </a:ln>
          <a:effectLst/>
        </c:spPr>
        <c:marker>
          <c:symbol val="none"/>
        </c:marker>
        <c:dLbl>
          <c:idx val="0"/>
          <c:layout>
            <c:manualLayout>
              <c:x val="-3.8737137310476323E-2"/>
              <c:y val="4.608376986196475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5"/>
            </a:solidFill>
            <a:round/>
          </a:ln>
          <a:effectLst/>
        </c:spPr>
        <c:marker>
          <c:symbol val="none"/>
        </c:marker>
        <c:dLbl>
          <c:idx val="0"/>
          <c:layout>
            <c:manualLayout>
              <c:x val="-4.1198200672006038E-2"/>
              <c:y val="-7.90509188391047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5"/>
            </a:solidFill>
            <a:round/>
          </a:ln>
          <a:effectLst/>
        </c:spPr>
        <c:marker>
          <c:symbol val="none"/>
        </c:marker>
        <c:dLbl>
          <c:idx val="0"/>
          <c:layout>
            <c:manualLayout>
              <c:x val="-8.554229918740339E-3"/>
              <c:y val="-2.840116388867188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0846334498043"/>
          <c:y val="0.18208410956018231"/>
          <c:w val="0.86168460192475937"/>
          <c:h val="0.65228127734033259"/>
        </c:manualLayout>
      </c:layout>
      <c:lineChart>
        <c:grouping val="standard"/>
        <c:varyColors val="0"/>
        <c:ser>
          <c:idx val="0"/>
          <c:order val="0"/>
          <c:tx>
            <c:strRef>
              <c:f>'pivot tables'!$J$2</c:f>
              <c:strCache>
                <c:ptCount val="1"/>
                <c:pt idx="0">
                  <c:v>Sum of Premium Collected (in Lakhs)</c:v>
                </c:pt>
              </c:strCache>
            </c:strRef>
          </c:tx>
          <c:spPr>
            <a:ln w="28575" cap="rnd">
              <a:solidFill>
                <a:schemeClr val="accent6"/>
              </a:solidFill>
              <a:round/>
            </a:ln>
            <a:effectLst/>
          </c:spPr>
          <c:marker>
            <c:symbol val="none"/>
          </c:marker>
          <c:dPt>
            <c:idx val="0"/>
            <c:marker>
              <c:symbol val="none"/>
            </c:marker>
            <c:bubble3D val="0"/>
            <c:spPr>
              <a:ln w="28575" cap="rnd">
                <a:solidFill>
                  <a:schemeClr val="accent6"/>
                </a:solidFill>
                <a:round/>
              </a:ln>
              <a:effectLst/>
            </c:spPr>
            <c:extLst>
              <c:ext xmlns:c16="http://schemas.microsoft.com/office/drawing/2014/chart" uri="{C3380CC4-5D6E-409C-BE32-E72D297353CC}">
                <c16:uniqueId val="{00000000-A9B7-4480-84D6-FBA1C3CB8CE6}"/>
              </c:ext>
            </c:extLst>
          </c:dPt>
          <c:dPt>
            <c:idx val="1"/>
            <c:marker>
              <c:symbol val="none"/>
            </c:marker>
            <c:bubble3D val="0"/>
            <c:spPr>
              <a:ln w="28575" cap="rnd">
                <a:solidFill>
                  <a:schemeClr val="accent6"/>
                </a:solidFill>
                <a:round/>
              </a:ln>
              <a:effectLst/>
            </c:spPr>
            <c:extLst>
              <c:ext xmlns:c16="http://schemas.microsoft.com/office/drawing/2014/chart" uri="{C3380CC4-5D6E-409C-BE32-E72D297353CC}">
                <c16:uniqueId val="{00000001-A9B7-4480-84D6-FBA1C3CB8CE6}"/>
              </c:ext>
            </c:extLst>
          </c:dPt>
          <c:dPt>
            <c:idx val="2"/>
            <c:marker>
              <c:symbol val="none"/>
            </c:marker>
            <c:bubble3D val="0"/>
            <c:spPr>
              <a:ln w="28575" cap="rnd">
                <a:solidFill>
                  <a:schemeClr val="accent6"/>
                </a:solidFill>
                <a:round/>
              </a:ln>
              <a:effectLst/>
            </c:spPr>
            <c:extLst>
              <c:ext xmlns:c16="http://schemas.microsoft.com/office/drawing/2014/chart" uri="{C3380CC4-5D6E-409C-BE32-E72D297353CC}">
                <c16:uniqueId val="{00000002-A9B7-4480-84D6-FBA1C3CB8CE6}"/>
              </c:ext>
            </c:extLst>
          </c:dPt>
          <c:dPt>
            <c:idx val="3"/>
            <c:marker>
              <c:symbol val="none"/>
            </c:marker>
            <c:bubble3D val="0"/>
            <c:spPr>
              <a:ln w="28575" cap="rnd">
                <a:solidFill>
                  <a:schemeClr val="accent6"/>
                </a:solidFill>
                <a:round/>
              </a:ln>
              <a:effectLst/>
            </c:spPr>
            <c:extLst>
              <c:ext xmlns:c16="http://schemas.microsoft.com/office/drawing/2014/chart" uri="{C3380CC4-5D6E-409C-BE32-E72D297353CC}">
                <c16:uniqueId val="{00000003-A9B7-4480-84D6-FBA1C3CB8CE6}"/>
              </c:ext>
            </c:extLst>
          </c:dPt>
          <c:dPt>
            <c:idx val="4"/>
            <c:marker>
              <c:symbol val="none"/>
            </c:marker>
            <c:bubble3D val="0"/>
            <c:spPr>
              <a:ln w="28575" cap="rnd">
                <a:solidFill>
                  <a:schemeClr val="accent6"/>
                </a:solidFill>
                <a:round/>
              </a:ln>
              <a:effectLst/>
            </c:spPr>
            <c:extLst>
              <c:ext xmlns:c16="http://schemas.microsoft.com/office/drawing/2014/chart" uri="{C3380CC4-5D6E-409C-BE32-E72D297353CC}">
                <c16:uniqueId val="{00000004-A9B7-4480-84D6-FBA1C3CB8CE6}"/>
              </c:ext>
            </c:extLst>
          </c:dPt>
          <c:dPt>
            <c:idx val="5"/>
            <c:marker>
              <c:symbol val="none"/>
            </c:marker>
            <c:bubble3D val="0"/>
            <c:spPr>
              <a:ln w="28575" cap="rnd">
                <a:solidFill>
                  <a:schemeClr val="accent6"/>
                </a:solidFill>
                <a:round/>
              </a:ln>
              <a:effectLst/>
            </c:spPr>
            <c:extLst>
              <c:ext xmlns:c16="http://schemas.microsoft.com/office/drawing/2014/chart" uri="{C3380CC4-5D6E-409C-BE32-E72D297353CC}">
                <c16:uniqueId val="{00000005-A9B7-4480-84D6-FBA1C3CB8CE6}"/>
              </c:ext>
            </c:extLst>
          </c:dPt>
          <c:dPt>
            <c:idx val="9"/>
            <c:marker>
              <c:symbol val="none"/>
            </c:marker>
            <c:bubble3D val="0"/>
            <c:spPr>
              <a:ln w="28575" cap="rnd">
                <a:solidFill>
                  <a:schemeClr val="accent6"/>
                </a:solidFill>
                <a:round/>
              </a:ln>
              <a:effectLst/>
            </c:spPr>
            <c:extLst>
              <c:ext xmlns:c16="http://schemas.microsoft.com/office/drawing/2014/chart" uri="{C3380CC4-5D6E-409C-BE32-E72D297353CC}">
                <c16:uniqueId val="{00000006-A9B7-4480-84D6-FBA1C3CB8CE6}"/>
              </c:ext>
            </c:extLst>
          </c:dPt>
          <c:dPt>
            <c:idx val="10"/>
            <c:marker>
              <c:symbol val="none"/>
            </c:marker>
            <c:bubble3D val="0"/>
            <c:spPr>
              <a:ln w="28575" cap="rnd">
                <a:solidFill>
                  <a:schemeClr val="accent6"/>
                </a:solidFill>
                <a:round/>
              </a:ln>
              <a:effectLst/>
            </c:spPr>
            <c:extLst>
              <c:ext xmlns:c16="http://schemas.microsoft.com/office/drawing/2014/chart" uri="{C3380CC4-5D6E-409C-BE32-E72D297353CC}">
                <c16:uniqueId val="{00000007-A9B7-4480-84D6-FBA1C3CB8CE6}"/>
              </c:ext>
            </c:extLst>
          </c:dPt>
          <c:dPt>
            <c:idx val="11"/>
            <c:marker>
              <c:symbol val="none"/>
            </c:marker>
            <c:bubble3D val="0"/>
            <c:spPr>
              <a:ln w="28575" cap="rnd">
                <a:solidFill>
                  <a:schemeClr val="accent6"/>
                </a:solidFill>
                <a:round/>
              </a:ln>
              <a:effectLst/>
            </c:spPr>
            <c:extLst>
              <c:ext xmlns:c16="http://schemas.microsoft.com/office/drawing/2014/chart" uri="{C3380CC4-5D6E-409C-BE32-E72D297353CC}">
                <c16:uniqueId val="{00000008-A9B7-4480-84D6-FBA1C3CB8CE6}"/>
              </c:ext>
            </c:extLst>
          </c:dPt>
          <c:dLbls>
            <c:dLbl>
              <c:idx val="0"/>
              <c:layout>
                <c:manualLayout>
                  <c:x val="-9.446181292004005E-2"/>
                  <c:y val="1.8174323835155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B7-4480-84D6-FBA1C3CB8CE6}"/>
                </c:ext>
              </c:extLst>
            </c:dLbl>
            <c:dLbl>
              <c:idx val="1"/>
              <c:layout>
                <c:manualLayout>
                  <c:x val="-8.3344007630459099E-2"/>
                  <c:y val="-3.545482846530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B7-4480-84D6-FBA1C3CB8CE6}"/>
                </c:ext>
              </c:extLst>
            </c:dLbl>
            <c:dLbl>
              <c:idx val="2"/>
              <c:layout>
                <c:manualLayout>
                  <c:x val="-6.6116564099751737E-2"/>
                  <c:y val="-8.3125186065710496E-2"/>
                </c:manualLayout>
              </c:layout>
              <c:tx>
                <c:rich>
                  <a:bodyPr/>
                  <a:lstStyle/>
                  <a:p>
                    <a:fld id="{6FA4F123-CCEB-4899-ABF2-5EDC30EED329}" type="VALUE">
                      <a:rPr lang="en-US" sz="1200" baseline="0"/>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9B7-4480-84D6-FBA1C3CB8CE6}"/>
                </c:ext>
              </c:extLst>
            </c:dLbl>
            <c:dLbl>
              <c:idx val="3"/>
              <c:layout>
                <c:manualLayout>
                  <c:x val="-7.3499754184340668E-2"/>
                  <c:y val="2.11537211851806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B7-4480-84D6-FBA1C3CB8CE6}"/>
                </c:ext>
              </c:extLst>
            </c:dLbl>
            <c:dLbl>
              <c:idx val="4"/>
              <c:layout>
                <c:manualLayout>
                  <c:x val="-0.11041570460728506"/>
                  <c:y val="-2.651663641522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B7-4480-84D6-FBA1C3CB8CE6}"/>
                </c:ext>
              </c:extLst>
            </c:dLbl>
            <c:dLbl>
              <c:idx val="5"/>
              <c:layout>
                <c:manualLayout>
                  <c:x val="-5.8733374015162862E-2"/>
                  <c:y val="3.90301052853335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B7-4480-84D6-FBA1C3CB8CE6}"/>
                </c:ext>
              </c:extLst>
            </c:dLbl>
            <c:dLbl>
              <c:idx val="9"/>
              <c:layout>
                <c:manualLayout>
                  <c:x val="-3.4122740399866597E-2"/>
                  <c:y val="-4.4393020515379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B7-4480-84D6-FBA1C3CB8CE6}"/>
                </c:ext>
              </c:extLst>
            </c:dLbl>
            <c:dLbl>
              <c:idx val="10"/>
              <c:layout>
                <c:manualLayout>
                  <c:x val="-9.0727197715048002E-2"/>
                  <c:y val="2.71125158852317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B7-4480-84D6-FBA1C3CB8CE6}"/>
                </c:ext>
              </c:extLst>
            </c:dLbl>
            <c:dLbl>
              <c:idx val="11"/>
              <c:layout>
                <c:manualLayout>
                  <c:x val="-8.6350380621858392E-4"/>
                  <c:y val="-3.54548284653031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9B7-4480-84D6-FBA1C3CB8CE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tables'!$I$3:$I$15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tables'!$J$3:$J$15</c:f>
              <c:numCache>
                <c:formatCode>General</c:formatCode>
                <c:ptCount val="12"/>
                <c:pt idx="0">
                  <c:v>33654.400000000001</c:v>
                </c:pt>
                <c:pt idx="1">
                  <c:v>34169.030000000006</c:v>
                </c:pt>
                <c:pt idx="2">
                  <c:v>34544.439999999995</c:v>
                </c:pt>
                <c:pt idx="3">
                  <c:v>22386.12</c:v>
                </c:pt>
                <c:pt idx="4">
                  <c:v>32046.850000000002</c:v>
                </c:pt>
                <c:pt idx="5">
                  <c:v>34624.44000000001</c:v>
                </c:pt>
                <c:pt idx="6">
                  <c:v>50422.51999999999</c:v>
                </c:pt>
                <c:pt idx="7">
                  <c:v>20673.460000000003</c:v>
                </c:pt>
                <c:pt idx="8">
                  <c:v>35950.58</c:v>
                </c:pt>
                <c:pt idx="9">
                  <c:v>30787.230000000003</c:v>
                </c:pt>
                <c:pt idx="10">
                  <c:v>27000.120000000006</c:v>
                </c:pt>
                <c:pt idx="11">
                  <c:v>25699.079999999998</c:v>
                </c:pt>
              </c:numCache>
            </c:numRef>
          </c:val>
          <c:smooth val="0"/>
          <c:extLst>
            <c:ext xmlns:c16="http://schemas.microsoft.com/office/drawing/2014/chart" uri="{C3380CC4-5D6E-409C-BE32-E72D297353CC}">
              <c16:uniqueId val="{00000000-9457-4AC8-9F45-616F7A53AFE7}"/>
            </c:ext>
          </c:extLst>
        </c:ser>
        <c:ser>
          <c:idx val="1"/>
          <c:order val="1"/>
          <c:tx>
            <c:strRef>
              <c:f>'pivot tables'!$K$2</c:f>
              <c:strCache>
                <c:ptCount val="1"/>
                <c:pt idx="0">
                  <c:v>Sum of Claims Settled</c:v>
                </c:pt>
              </c:strCache>
            </c:strRef>
          </c:tx>
          <c:spPr>
            <a:ln w="28575" cap="rnd">
              <a:solidFill>
                <a:schemeClr val="accent5"/>
              </a:solidFill>
              <a:round/>
            </a:ln>
            <a:effectLst/>
          </c:spPr>
          <c:marker>
            <c:symbol val="none"/>
          </c:marker>
          <c:dPt>
            <c:idx val="2"/>
            <c:marker>
              <c:symbol val="none"/>
            </c:marker>
            <c:bubble3D val="0"/>
            <c:spPr>
              <a:ln w="28575" cap="rnd">
                <a:solidFill>
                  <a:schemeClr val="accent5"/>
                </a:solidFill>
                <a:round/>
              </a:ln>
              <a:effectLst/>
            </c:spPr>
            <c:extLst>
              <c:ext xmlns:c16="http://schemas.microsoft.com/office/drawing/2014/chart" uri="{C3380CC4-5D6E-409C-BE32-E72D297353CC}">
                <c16:uniqueId val="{00000009-A9B7-4480-84D6-FBA1C3CB8CE6}"/>
              </c:ext>
            </c:extLst>
          </c:dPt>
          <c:dPt>
            <c:idx val="4"/>
            <c:marker>
              <c:symbol val="none"/>
            </c:marker>
            <c:bubble3D val="0"/>
            <c:spPr>
              <a:ln w="28575" cap="rnd">
                <a:solidFill>
                  <a:schemeClr val="accent5"/>
                </a:solidFill>
                <a:round/>
              </a:ln>
              <a:effectLst/>
            </c:spPr>
            <c:extLst>
              <c:ext xmlns:c16="http://schemas.microsoft.com/office/drawing/2014/chart" uri="{C3380CC4-5D6E-409C-BE32-E72D297353CC}">
                <c16:uniqueId val="{0000000A-A9B7-4480-84D6-FBA1C3CB8CE6}"/>
              </c:ext>
            </c:extLst>
          </c:dPt>
          <c:dPt>
            <c:idx val="8"/>
            <c:marker>
              <c:symbol val="none"/>
            </c:marker>
            <c:bubble3D val="0"/>
            <c:spPr>
              <a:ln w="28575" cap="rnd">
                <a:solidFill>
                  <a:schemeClr val="accent5"/>
                </a:solidFill>
                <a:round/>
              </a:ln>
              <a:effectLst/>
            </c:spPr>
            <c:extLst>
              <c:ext xmlns:c16="http://schemas.microsoft.com/office/drawing/2014/chart" uri="{C3380CC4-5D6E-409C-BE32-E72D297353CC}">
                <c16:uniqueId val="{0000000C-A9B7-4480-84D6-FBA1C3CB8CE6}"/>
              </c:ext>
            </c:extLst>
          </c:dPt>
          <c:dPt>
            <c:idx val="9"/>
            <c:marker>
              <c:symbol val="none"/>
            </c:marker>
            <c:bubble3D val="0"/>
            <c:spPr>
              <a:ln w="28575" cap="rnd">
                <a:solidFill>
                  <a:schemeClr val="accent5"/>
                </a:solidFill>
                <a:round/>
              </a:ln>
              <a:effectLst/>
            </c:spPr>
            <c:extLst>
              <c:ext xmlns:c16="http://schemas.microsoft.com/office/drawing/2014/chart" uri="{C3380CC4-5D6E-409C-BE32-E72D297353CC}">
                <c16:uniqueId val="{0000000B-A9B7-4480-84D6-FBA1C3CB8CE6}"/>
              </c:ext>
            </c:extLst>
          </c:dPt>
          <c:dPt>
            <c:idx val="11"/>
            <c:marker>
              <c:symbol val="none"/>
            </c:marker>
            <c:bubble3D val="0"/>
            <c:spPr>
              <a:ln w="28575" cap="rnd">
                <a:solidFill>
                  <a:schemeClr val="accent5"/>
                </a:solidFill>
                <a:round/>
              </a:ln>
              <a:effectLst/>
            </c:spPr>
            <c:extLst>
              <c:ext xmlns:c16="http://schemas.microsoft.com/office/drawing/2014/chart" uri="{C3380CC4-5D6E-409C-BE32-E72D297353CC}">
                <c16:uniqueId val="{0000000D-A9B7-4480-84D6-FBA1C3CB8CE6}"/>
              </c:ext>
            </c:extLst>
          </c:dPt>
          <c:dLbls>
            <c:dLbl>
              <c:idx val="2"/>
              <c:layout>
                <c:manualLayout>
                  <c:x val="-7.0730961010361471E-2"/>
                  <c:y val="3.71455778118883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B7-4480-84D6-FBA1C3CB8CE6}"/>
                </c:ext>
              </c:extLst>
            </c:dLbl>
            <c:dLbl>
              <c:idx val="4"/>
              <c:layout>
                <c:manualLayout>
                  <c:x val="-6.3347770925772581E-2"/>
                  <c:y val="3.4166180461862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B7-4480-84D6-FBA1C3CB8CE6}"/>
                </c:ext>
              </c:extLst>
            </c:dLbl>
            <c:dLbl>
              <c:idx val="8"/>
              <c:layout>
                <c:manualLayout>
                  <c:x val="-4.1198200672006038E-2"/>
                  <c:y val="-7.9050918839104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9B7-4480-84D6-FBA1C3CB8CE6}"/>
                </c:ext>
              </c:extLst>
            </c:dLbl>
            <c:dLbl>
              <c:idx val="9"/>
              <c:layout>
                <c:manualLayout>
                  <c:x val="-3.8737137310476323E-2"/>
                  <c:y val="4.6083769861964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B7-4480-84D6-FBA1C3CB8CE6}"/>
                </c:ext>
              </c:extLst>
            </c:dLbl>
            <c:dLbl>
              <c:idx val="11"/>
              <c:layout>
                <c:manualLayout>
                  <c:x val="-8.554229918740339E-3"/>
                  <c:y val="-2.84011638886718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9B7-4480-84D6-FBA1C3CB8CE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tables'!$I$3:$I$15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tables'!$K$3:$K$15</c:f>
              <c:numCache>
                <c:formatCode>General</c:formatCode>
                <c:ptCount val="12"/>
                <c:pt idx="0">
                  <c:v>5927</c:v>
                </c:pt>
                <c:pt idx="1">
                  <c:v>6167</c:v>
                </c:pt>
                <c:pt idx="2">
                  <c:v>5582</c:v>
                </c:pt>
                <c:pt idx="3">
                  <c:v>5791</c:v>
                </c:pt>
                <c:pt idx="4">
                  <c:v>7390</c:v>
                </c:pt>
                <c:pt idx="5">
                  <c:v>6472</c:v>
                </c:pt>
                <c:pt idx="6">
                  <c:v>11757</c:v>
                </c:pt>
                <c:pt idx="7">
                  <c:v>3912</c:v>
                </c:pt>
                <c:pt idx="8">
                  <c:v>4411</c:v>
                </c:pt>
                <c:pt idx="9">
                  <c:v>7358</c:v>
                </c:pt>
                <c:pt idx="10">
                  <c:v>6407</c:v>
                </c:pt>
                <c:pt idx="11">
                  <c:v>4228</c:v>
                </c:pt>
              </c:numCache>
            </c:numRef>
          </c:val>
          <c:smooth val="0"/>
          <c:extLst>
            <c:ext xmlns:c16="http://schemas.microsoft.com/office/drawing/2014/chart" uri="{C3380CC4-5D6E-409C-BE32-E72D297353CC}">
              <c16:uniqueId val="{00000001-9457-4AC8-9F45-616F7A53AFE7}"/>
            </c:ext>
          </c:extLst>
        </c:ser>
        <c:dLbls>
          <c:dLblPos val="t"/>
          <c:showLegendKey val="0"/>
          <c:showVal val="1"/>
          <c:showCatName val="0"/>
          <c:showSerName val="0"/>
          <c:showPercent val="0"/>
          <c:showBubbleSize val="0"/>
        </c:dLbls>
        <c:smooth val="0"/>
        <c:axId val="333616784"/>
        <c:axId val="333615824"/>
      </c:lineChart>
      <c:catAx>
        <c:axId val="33361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33615824"/>
        <c:crosses val="autoZero"/>
        <c:auto val="1"/>
        <c:lblAlgn val="ctr"/>
        <c:lblOffset val="100"/>
        <c:noMultiLvlLbl val="0"/>
      </c:catAx>
      <c:valAx>
        <c:axId val="3336158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33616784"/>
        <c:crosses val="autoZero"/>
        <c:crossBetween val="between"/>
      </c:valAx>
      <c:spPr>
        <a:noFill/>
        <a:ln>
          <a:noFill/>
        </a:ln>
        <a:effectLst/>
      </c:spPr>
    </c:plotArea>
    <c:legend>
      <c:legendPos val="t"/>
      <c:layout>
        <c:manualLayout>
          <c:xMode val="edge"/>
          <c:yMode val="edge"/>
          <c:x val="5.5420821487447321E-2"/>
          <c:y val="9.356339911232725E-2"/>
          <c:w val="0.91869111736346087"/>
          <c:h val="0.1225652113579784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[LIC_updated.xlsx]pivot tables!bran-perf</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Branch</a:t>
            </a:r>
            <a:r>
              <a:rPr lang="en-IN" sz="2400" b="1" baseline="0"/>
              <a:t> Performance</a:t>
            </a:r>
            <a:endParaRPr lang="en-IN"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37396045063173E-2"/>
          <c:y val="4.6296531734817799E-2"/>
          <c:w val="0.78729965004374458"/>
          <c:h val="0.6162973899095946"/>
        </c:manualLayout>
      </c:layout>
      <c:barChart>
        <c:barDir val="col"/>
        <c:grouping val="clustered"/>
        <c:varyColors val="0"/>
        <c:ser>
          <c:idx val="0"/>
          <c:order val="0"/>
          <c:tx>
            <c:strRef>
              <c:f>'pivot tables'!$C$17</c:f>
              <c:strCache>
                <c:ptCount val="1"/>
                <c:pt idx="0">
                  <c:v>Average of Branch Performance Index</c:v>
                </c:pt>
              </c:strCache>
            </c:strRef>
          </c:tx>
          <c:spPr>
            <a:solidFill>
              <a:schemeClr val="accent6"/>
            </a:solidFill>
            <a:ln>
              <a:noFill/>
            </a:ln>
            <a:effectLst/>
          </c:spPr>
          <c:invertIfNegative val="0"/>
          <c:cat>
            <c:strRef>
              <c:f>'pivot tables'!$B$18:$B$25</c:f>
              <c:strCache>
                <c:ptCount val="8"/>
                <c:pt idx="0">
                  <c:v>Ahmedabad</c:v>
                </c:pt>
                <c:pt idx="1">
                  <c:v>Bangalore</c:v>
                </c:pt>
                <c:pt idx="2">
                  <c:v>Chennai</c:v>
                </c:pt>
                <c:pt idx="3">
                  <c:v>Delhi</c:v>
                </c:pt>
                <c:pt idx="4">
                  <c:v>Hyderabad</c:v>
                </c:pt>
                <c:pt idx="5">
                  <c:v>Kolkata</c:v>
                </c:pt>
                <c:pt idx="6">
                  <c:v>Mumbai</c:v>
                </c:pt>
                <c:pt idx="7">
                  <c:v>Pune</c:v>
                </c:pt>
              </c:strCache>
            </c:strRef>
          </c:cat>
          <c:val>
            <c:numRef>
              <c:f>'pivot tables'!$C$18:$C$25</c:f>
              <c:numCache>
                <c:formatCode>0.00</c:formatCode>
                <c:ptCount val="8"/>
                <c:pt idx="0">
                  <c:v>5.8043478260869561</c:v>
                </c:pt>
                <c:pt idx="1">
                  <c:v>4.9303448275862074</c:v>
                </c:pt>
                <c:pt idx="2">
                  <c:v>5.8131818181818176</c:v>
                </c:pt>
                <c:pt idx="3">
                  <c:v>5.9511111111111106</c:v>
                </c:pt>
                <c:pt idx="4">
                  <c:v>5.423947368421052</c:v>
                </c:pt>
                <c:pt idx="5">
                  <c:v>5.6872972972972979</c:v>
                </c:pt>
                <c:pt idx="6">
                  <c:v>5.4793750000000019</c:v>
                </c:pt>
                <c:pt idx="7">
                  <c:v>4.8215789473684207</c:v>
                </c:pt>
              </c:numCache>
            </c:numRef>
          </c:val>
          <c:extLst>
            <c:ext xmlns:c16="http://schemas.microsoft.com/office/drawing/2014/chart" uri="{C3380CC4-5D6E-409C-BE32-E72D297353CC}">
              <c16:uniqueId val="{00000000-3E42-4C97-A795-F2D88857C586}"/>
            </c:ext>
          </c:extLst>
        </c:ser>
        <c:dLbls>
          <c:showLegendKey val="0"/>
          <c:showVal val="0"/>
          <c:showCatName val="0"/>
          <c:showSerName val="0"/>
          <c:showPercent val="0"/>
          <c:showBubbleSize val="0"/>
        </c:dLbls>
        <c:gapWidth val="219"/>
        <c:overlap val="-27"/>
        <c:axId val="156893696"/>
        <c:axId val="156896576"/>
      </c:barChart>
      <c:lineChart>
        <c:grouping val="standard"/>
        <c:varyColors val="0"/>
        <c:ser>
          <c:idx val="1"/>
          <c:order val="1"/>
          <c:tx>
            <c:strRef>
              <c:f>'pivot tables'!$D$17</c:f>
              <c:strCache>
                <c:ptCount val="1"/>
                <c:pt idx="0">
                  <c:v>Average of Market Share (%)</c:v>
                </c:pt>
              </c:strCache>
            </c:strRef>
          </c:tx>
          <c:spPr>
            <a:ln w="28575" cap="rnd">
              <a:solidFill>
                <a:schemeClr val="accent5"/>
              </a:solidFill>
              <a:round/>
            </a:ln>
            <a:effectLst/>
          </c:spPr>
          <c:marker>
            <c:symbol val="none"/>
          </c:marker>
          <c:cat>
            <c:strRef>
              <c:f>'pivot tables'!$B$18:$B$25</c:f>
              <c:strCache>
                <c:ptCount val="8"/>
                <c:pt idx="0">
                  <c:v>Ahmedabad</c:v>
                </c:pt>
                <c:pt idx="1">
                  <c:v>Bangalore</c:v>
                </c:pt>
                <c:pt idx="2">
                  <c:v>Chennai</c:v>
                </c:pt>
                <c:pt idx="3">
                  <c:v>Delhi</c:v>
                </c:pt>
                <c:pt idx="4">
                  <c:v>Hyderabad</c:v>
                </c:pt>
                <c:pt idx="5">
                  <c:v>Kolkata</c:v>
                </c:pt>
                <c:pt idx="6">
                  <c:v>Mumbai</c:v>
                </c:pt>
                <c:pt idx="7">
                  <c:v>Pune</c:v>
                </c:pt>
              </c:strCache>
            </c:strRef>
          </c:cat>
          <c:val>
            <c:numRef>
              <c:f>'pivot tables'!$D$18:$D$25</c:f>
              <c:numCache>
                <c:formatCode>0.0000</c:formatCode>
                <c:ptCount val="8"/>
                <c:pt idx="0">
                  <c:v>17.388043478260869</c:v>
                </c:pt>
                <c:pt idx="1">
                  <c:v>18.360689655172408</c:v>
                </c:pt>
                <c:pt idx="2">
                  <c:v>17.471590909090917</c:v>
                </c:pt>
                <c:pt idx="3">
                  <c:v>17.115555555555559</c:v>
                </c:pt>
                <c:pt idx="4">
                  <c:v>18.151842105263157</c:v>
                </c:pt>
                <c:pt idx="5">
                  <c:v>15.822432432432434</c:v>
                </c:pt>
                <c:pt idx="6">
                  <c:v>16.791875000000005</c:v>
                </c:pt>
                <c:pt idx="7">
                  <c:v>16.192105263157892</c:v>
                </c:pt>
              </c:numCache>
            </c:numRef>
          </c:val>
          <c:smooth val="0"/>
          <c:extLst>
            <c:ext xmlns:c16="http://schemas.microsoft.com/office/drawing/2014/chart" uri="{C3380CC4-5D6E-409C-BE32-E72D297353CC}">
              <c16:uniqueId val="{00000001-3E42-4C97-A795-F2D88857C586}"/>
            </c:ext>
          </c:extLst>
        </c:ser>
        <c:dLbls>
          <c:showLegendKey val="0"/>
          <c:showVal val="0"/>
          <c:showCatName val="0"/>
          <c:showSerName val="0"/>
          <c:showPercent val="0"/>
          <c:showBubbleSize val="0"/>
        </c:dLbls>
        <c:marker val="1"/>
        <c:smooth val="0"/>
        <c:axId val="162280576"/>
        <c:axId val="166847664"/>
      </c:lineChart>
      <c:catAx>
        <c:axId val="1568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896576"/>
        <c:crosses val="autoZero"/>
        <c:auto val="1"/>
        <c:lblAlgn val="ctr"/>
        <c:lblOffset val="100"/>
        <c:noMultiLvlLbl val="0"/>
      </c:catAx>
      <c:valAx>
        <c:axId val="156896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3696"/>
        <c:crosses val="autoZero"/>
        <c:crossBetween val="between"/>
      </c:valAx>
      <c:valAx>
        <c:axId val="166847664"/>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80576"/>
        <c:crosses val="max"/>
        <c:crossBetween val="between"/>
      </c:valAx>
      <c:catAx>
        <c:axId val="162280576"/>
        <c:scaling>
          <c:orientation val="minMax"/>
        </c:scaling>
        <c:delete val="1"/>
        <c:axPos val="b"/>
        <c:numFmt formatCode="General" sourceLinked="1"/>
        <c:majorTickMark val="out"/>
        <c:minorTickMark val="none"/>
        <c:tickLblPos val="nextTo"/>
        <c:crossAx val="166847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[LIC_updated.xlsx]pivot tables!renewal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Retention</a:t>
            </a:r>
            <a:r>
              <a:rPr lang="en-IN" sz="1800" b="1" baseline="0"/>
              <a:t> and new customers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0139982502187"/>
          <c:y val="0.14249781277340332"/>
          <c:w val="0.86183987879229651"/>
          <c:h val="0.53362569262175563"/>
        </c:manualLayout>
      </c:layout>
      <c:barChart>
        <c:barDir val="col"/>
        <c:grouping val="clustered"/>
        <c:varyColors val="0"/>
        <c:ser>
          <c:idx val="0"/>
          <c:order val="0"/>
          <c:tx>
            <c:strRef>
              <c:f>'pivot tables'!$J$17</c:f>
              <c:strCache>
                <c:ptCount val="1"/>
                <c:pt idx="0">
                  <c:v>Sum of Customer Retention Rate (%)</c:v>
                </c:pt>
              </c:strCache>
            </c:strRef>
          </c:tx>
          <c:spPr>
            <a:solidFill>
              <a:schemeClr val="accent6"/>
            </a:solidFill>
            <a:ln>
              <a:noFill/>
            </a:ln>
            <a:effectLst/>
          </c:spPr>
          <c:invertIfNegative val="0"/>
          <c:cat>
            <c:strRef>
              <c:f>'pivot tables'!$I$18:$I$26</c:f>
              <c:strCache>
                <c:ptCount val="8"/>
                <c:pt idx="0">
                  <c:v>Ahmedabad</c:v>
                </c:pt>
                <c:pt idx="1">
                  <c:v>Bangalore</c:v>
                </c:pt>
                <c:pt idx="2">
                  <c:v>Chennai</c:v>
                </c:pt>
                <c:pt idx="3">
                  <c:v>Delhi</c:v>
                </c:pt>
                <c:pt idx="4">
                  <c:v>Hyderabad</c:v>
                </c:pt>
                <c:pt idx="5">
                  <c:v>Kolkata</c:v>
                </c:pt>
                <c:pt idx="6">
                  <c:v>Mumbai</c:v>
                </c:pt>
                <c:pt idx="7">
                  <c:v>Pune</c:v>
                </c:pt>
              </c:strCache>
            </c:strRef>
          </c:cat>
          <c:val>
            <c:numRef>
              <c:f>'pivot tables'!$J$18:$J$26</c:f>
              <c:numCache>
                <c:formatCode>General</c:formatCode>
                <c:ptCount val="8"/>
                <c:pt idx="0">
                  <c:v>3466.1399999999985</c:v>
                </c:pt>
                <c:pt idx="1">
                  <c:v>2081.09</c:v>
                </c:pt>
                <c:pt idx="2">
                  <c:v>3325.77</c:v>
                </c:pt>
                <c:pt idx="3">
                  <c:v>2731.3200000000011</c:v>
                </c:pt>
                <c:pt idx="4">
                  <c:v>2876.8700000000003</c:v>
                </c:pt>
                <c:pt idx="5">
                  <c:v>2804.57</c:v>
                </c:pt>
                <c:pt idx="6">
                  <c:v>2355.2300000000009</c:v>
                </c:pt>
                <c:pt idx="7">
                  <c:v>2887.1000000000004</c:v>
                </c:pt>
              </c:numCache>
            </c:numRef>
          </c:val>
          <c:extLst>
            <c:ext xmlns:c16="http://schemas.microsoft.com/office/drawing/2014/chart" uri="{C3380CC4-5D6E-409C-BE32-E72D297353CC}">
              <c16:uniqueId val="{00000000-B839-4C0F-9363-B0885B3F329A}"/>
            </c:ext>
          </c:extLst>
        </c:ser>
        <c:ser>
          <c:idx val="1"/>
          <c:order val="1"/>
          <c:tx>
            <c:strRef>
              <c:f>'pivot tables'!$K$17</c:f>
              <c:strCache>
                <c:ptCount val="1"/>
                <c:pt idx="0">
                  <c:v>Sum of New Customers Acquired</c:v>
                </c:pt>
              </c:strCache>
            </c:strRef>
          </c:tx>
          <c:spPr>
            <a:solidFill>
              <a:schemeClr val="accent5"/>
            </a:solidFill>
            <a:ln>
              <a:noFill/>
            </a:ln>
            <a:effectLst/>
          </c:spPr>
          <c:invertIfNegative val="0"/>
          <c:cat>
            <c:strRef>
              <c:f>'pivot tables'!$I$18:$I$26</c:f>
              <c:strCache>
                <c:ptCount val="8"/>
                <c:pt idx="0">
                  <c:v>Ahmedabad</c:v>
                </c:pt>
                <c:pt idx="1">
                  <c:v>Bangalore</c:v>
                </c:pt>
                <c:pt idx="2">
                  <c:v>Chennai</c:v>
                </c:pt>
                <c:pt idx="3">
                  <c:v>Delhi</c:v>
                </c:pt>
                <c:pt idx="4">
                  <c:v>Hyderabad</c:v>
                </c:pt>
                <c:pt idx="5">
                  <c:v>Kolkata</c:v>
                </c:pt>
                <c:pt idx="6">
                  <c:v>Mumbai</c:v>
                </c:pt>
                <c:pt idx="7">
                  <c:v>Pune</c:v>
                </c:pt>
              </c:strCache>
            </c:strRef>
          </c:cat>
          <c:val>
            <c:numRef>
              <c:f>'pivot tables'!$K$18:$K$26</c:f>
              <c:numCache>
                <c:formatCode>General</c:formatCode>
                <c:ptCount val="8"/>
                <c:pt idx="0">
                  <c:v>11683</c:v>
                </c:pt>
                <c:pt idx="1">
                  <c:v>7746</c:v>
                </c:pt>
                <c:pt idx="2">
                  <c:v>11321</c:v>
                </c:pt>
                <c:pt idx="3">
                  <c:v>10251</c:v>
                </c:pt>
                <c:pt idx="4">
                  <c:v>9634</c:v>
                </c:pt>
                <c:pt idx="5">
                  <c:v>9968</c:v>
                </c:pt>
                <c:pt idx="6">
                  <c:v>8448</c:v>
                </c:pt>
                <c:pt idx="7">
                  <c:v>10142</c:v>
                </c:pt>
              </c:numCache>
            </c:numRef>
          </c:val>
          <c:extLst>
            <c:ext xmlns:c16="http://schemas.microsoft.com/office/drawing/2014/chart" uri="{C3380CC4-5D6E-409C-BE32-E72D297353CC}">
              <c16:uniqueId val="{00000001-B839-4C0F-9363-B0885B3F329A}"/>
            </c:ext>
          </c:extLst>
        </c:ser>
        <c:dLbls>
          <c:showLegendKey val="0"/>
          <c:showVal val="0"/>
          <c:showCatName val="0"/>
          <c:showSerName val="0"/>
          <c:showPercent val="0"/>
          <c:showBubbleSize val="0"/>
        </c:dLbls>
        <c:gapWidth val="219"/>
        <c:overlap val="-27"/>
        <c:axId val="348380560"/>
        <c:axId val="348378640"/>
      </c:barChart>
      <c:catAx>
        <c:axId val="34838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48378640"/>
        <c:crosses val="autoZero"/>
        <c:auto val="1"/>
        <c:lblAlgn val="ctr"/>
        <c:lblOffset val="100"/>
        <c:noMultiLvlLbl val="0"/>
      </c:catAx>
      <c:valAx>
        <c:axId val="3483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8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vecteezy.com/png/20696248-3d-minimal-financial-analysis-financial-goal-investment-planning-data-analysis-concept-a-statistic-paper-with-a-pile-of-money-and-dartboard-3d-illustration" TargetMode="External"/><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https://www.gkgujarati.in/2020/02/lic-recruitment-for-218-assistant.html" TargetMode="External"/><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638432</xdr:colOff>
      <xdr:row>5</xdr:row>
      <xdr:rowOff>82379</xdr:rowOff>
    </xdr:from>
    <xdr:to>
      <xdr:col>10</xdr:col>
      <xdr:colOff>410308</xdr:colOff>
      <xdr:row>29</xdr:row>
      <xdr:rowOff>70339</xdr:rowOff>
    </xdr:to>
    <xdr:graphicFrame macro="">
      <xdr:nvGraphicFramePr>
        <xdr:cNvPr id="3" name="Chart 2">
          <a:extLst>
            <a:ext uri="{FF2B5EF4-FFF2-40B4-BE49-F238E27FC236}">
              <a16:creationId xmlns:a16="http://schemas.microsoft.com/office/drawing/2014/main" id="{56EB8263-FDF0-4560-87D6-52F0F2788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480646</xdr:colOff>
      <xdr:row>5</xdr:row>
      <xdr:rowOff>50044</xdr:rowOff>
    </xdr:from>
    <xdr:to>
      <xdr:col>18</xdr:col>
      <xdr:colOff>211015</xdr:colOff>
      <xdr:row>29</xdr:row>
      <xdr:rowOff>82062</xdr:rowOff>
    </xdr:to>
    <xdr:graphicFrame macro="">
      <xdr:nvGraphicFramePr>
        <xdr:cNvPr id="5" name="Chart 4">
          <a:extLst>
            <a:ext uri="{FF2B5EF4-FFF2-40B4-BE49-F238E27FC236}">
              <a16:creationId xmlns:a16="http://schemas.microsoft.com/office/drawing/2014/main" id="{DC1EB1F0-4A68-4E21-B5D0-4CF1AB990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3957</xdr:colOff>
      <xdr:row>29</xdr:row>
      <xdr:rowOff>174691</xdr:rowOff>
    </xdr:from>
    <xdr:to>
      <xdr:col>10</xdr:col>
      <xdr:colOff>386861</xdr:colOff>
      <xdr:row>51</xdr:row>
      <xdr:rowOff>67366</xdr:rowOff>
    </xdr:to>
    <xdr:graphicFrame macro="">
      <xdr:nvGraphicFramePr>
        <xdr:cNvPr id="7" name="Chart 6">
          <a:extLst>
            <a:ext uri="{FF2B5EF4-FFF2-40B4-BE49-F238E27FC236}">
              <a16:creationId xmlns:a16="http://schemas.microsoft.com/office/drawing/2014/main" id="{6D223A62-618B-4D49-9182-5B9EC0B3E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76672</xdr:colOff>
      <xdr:row>5</xdr:row>
      <xdr:rowOff>104382</xdr:rowOff>
    </xdr:from>
    <xdr:to>
      <xdr:col>2</xdr:col>
      <xdr:colOff>556644</xdr:colOff>
      <xdr:row>35</xdr:row>
      <xdr:rowOff>23448</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7B8E9C48-5820-4826-B32D-39CC21500AC6}"/>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6672" y="983613"/>
              <a:ext cx="1816403" cy="519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504094</xdr:colOff>
      <xdr:row>29</xdr:row>
      <xdr:rowOff>58615</xdr:rowOff>
    </xdr:from>
    <xdr:to>
      <xdr:col>30</xdr:col>
      <xdr:colOff>527538</xdr:colOff>
      <xdr:row>50</xdr:row>
      <xdr:rowOff>175845</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0C1EBE81-2E62-4ACD-A714-494387DAC8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877694" y="5158153"/>
              <a:ext cx="2696306" cy="38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257908</xdr:colOff>
      <xdr:row>5</xdr:row>
      <xdr:rowOff>51485</xdr:rowOff>
    </xdr:from>
    <xdr:to>
      <xdr:col>26</xdr:col>
      <xdr:colOff>375138</xdr:colOff>
      <xdr:row>29</xdr:row>
      <xdr:rowOff>93785</xdr:rowOff>
    </xdr:to>
    <xdr:graphicFrame macro="">
      <xdr:nvGraphicFramePr>
        <xdr:cNvPr id="13" name="Chart 12">
          <a:extLst>
            <a:ext uri="{FF2B5EF4-FFF2-40B4-BE49-F238E27FC236}">
              <a16:creationId xmlns:a16="http://schemas.microsoft.com/office/drawing/2014/main" id="{41EC4270-CF36-49D6-A9AB-A9CD56499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457200</xdr:colOff>
      <xdr:row>30</xdr:row>
      <xdr:rowOff>46892</xdr:rowOff>
    </xdr:from>
    <xdr:to>
      <xdr:col>18</xdr:col>
      <xdr:colOff>199292</xdr:colOff>
      <xdr:row>51</xdr:row>
      <xdr:rowOff>77107</xdr:rowOff>
    </xdr:to>
    <xdr:graphicFrame macro="">
      <xdr:nvGraphicFramePr>
        <xdr:cNvPr id="15" name="Chart 14">
          <a:extLst>
            <a:ext uri="{FF2B5EF4-FFF2-40B4-BE49-F238E27FC236}">
              <a16:creationId xmlns:a16="http://schemas.microsoft.com/office/drawing/2014/main" id="{5F30616C-EF8C-4242-BC5C-A0689FDF9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257909</xdr:colOff>
      <xdr:row>30</xdr:row>
      <xdr:rowOff>46891</xdr:rowOff>
    </xdr:from>
    <xdr:to>
      <xdr:col>26</xdr:col>
      <xdr:colOff>386862</xdr:colOff>
      <xdr:row>51</xdr:row>
      <xdr:rowOff>67365</xdr:rowOff>
    </xdr:to>
    <xdr:graphicFrame macro="">
      <xdr:nvGraphicFramePr>
        <xdr:cNvPr id="17" name="Chart 16">
          <a:extLst>
            <a:ext uri="{FF2B5EF4-FFF2-40B4-BE49-F238E27FC236}">
              <a16:creationId xmlns:a16="http://schemas.microsoft.com/office/drawing/2014/main" id="{3EE11FF4-4695-4528-8C60-24122D3FB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503636</xdr:colOff>
      <xdr:row>10</xdr:row>
      <xdr:rowOff>158670</xdr:rowOff>
    </xdr:from>
    <xdr:to>
      <xdr:col>30</xdr:col>
      <xdr:colOff>594335</xdr:colOff>
      <xdr:row>28</xdr:row>
      <xdr:rowOff>164122</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DE0A9AD0-E8E5-43DF-9C31-3547708DA8E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877236" y="1917132"/>
              <a:ext cx="2763561" cy="3170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267729</xdr:colOff>
      <xdr:row>0</xdr:row>
      <xdr:rowOff>164756</xdr:rowOff>
    </xdr:from>
    <xdr:ext cx="3717325" cy="523285"/>
    <xdr:sp macro="" textlink="">
      <xdr:nvSpPr>
        <xdr:cNvPr id="19" name="TextBox 18">
          <a:extLst>
            <a:ext uri="{FF2B5EF4-FFF2-40B4-BE49-F238E27FC236}">
              <a16:creationId xmlns:a16="http://schemas.microsoft.com/office/drawing/2014/main" id="{5B45BC72-EF9C-0E2E-CCD3-0DCADCA60DC3}"/>
            </a:ext>
          </a:extLst>
        </xdr:cNvPr>
        <xdr:cNvSpPr txBox="1"/>
      </xdr:nvSpPr>
      <xdr:spPr>
        <a:xfrm>
          <a:off x="6291648" y="164756"/>
          <a:ext cx="3717325"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2800" b="1" i="1" kern="1200">
            <a:solidFill>
              <a:schemeClr val="bg1"/>
            </a:solidFill>
            <a:latin typeface="Imprint MT Shadow" panose="04020605060303030202" pitchFamily="82" charset="0"/>
          </a:endParaRPr>
        </a:p>
      </xdr:txBody>
    </xdr:sp>
    <xdr:clientData/>
  </xdr:oneCellAnchor>
  <xdr:twoCellAnchor editAs="oneCell">
    <xdr:from>
      <xdr:col>25</xdr:col>
      <xdr:colOff>276601</xdr:colOff>
      <xdr:row>0</xdr:row>
      <xdr:rowOff>0</xdr:rowOff>
    </xdr:from>
    <xdr:to>
      <xdr:col>29</xdr:col>
      <xdr:colOff>297197</xdr:colOff>
      <xdr:row>5</xdr:row>
      <xdr:rowOff>82378</xdr:rowOff>
    </xdr:to>
    <xdr:pic>
      <xdr:nvPicPr>
        <xdr:cNvPr id="25" name="Picture 24">
          <a:extLst>
            <a:ext uri="{FF2B5EF4-FFF2-40B4-BE49-F238E27FC236}">
              <a16:creationId xmlns:a16="http://schemas.microsoft.com/office/drawing/2014/main" id="{3511498E-6A25-15D6-06E7-6249A3759D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6981986" y="0"/>
          <a:ext cx="2693457" cy="961609"/>
        </a:xfrm>
        <a:prstGeom prst="rect">
          <a:avLst/>
        </a:prstGeom>
      </xdr:spPr>
    </xdr:pic>
    <xdr:clientData/>
  </xdr:twoCellAnchor>
  <xdr:twoCellAnchor editAs="oneCell">
    <xdr:from>
      <xdr:col>0</xdr:col>
      <xdr:colOff>236837</xdr:colOff>
      <xdr:row>0</xdr:row>
      <xdr:rowOff>51486</xdr:rowOff>
    </xdr:from>
    <xdr:to>
      <xdr:col>3</xdr:col>
      <xdr:colOff>398673</xdr:colOff>
      <xdr:row>4</xdr:row>
      <xdr:rowOff>164757</xdr:rowOff>
    </xdr:to>
    <xdr:pic>
      <xdr:nvPicPr>
        <xdr:cNvPr id="27" name="Picture 26">
          <a:extLst>
            <a:ext uri="{FF2B5EF4-FFF2-40B4-BE49-F238E27FC236}">
              <a16:creationId xmlns:a16="http://schemas.microsoft.com/office/drawing/2014/main" id="{6A1B28FA-E60E-C6C0-41B7-0368818D2EB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236837" y="51486"/>
          <a:ext cx="2169809" cy="813487"/>
        </a:xfrm>
        <a:prstGeom prst="rect">
          <a:avLst/>
        </a:prstGeom>
      </xdr:spPr>
    </xdr:pic>
    <xdr:clientData/>
  </xdr:twoCellAnchor>
  <xdr:oneCellAnchor>
    <xdr:from>
      <xdr:col>3</xdr:col>
      <xdr:colOff>92672</xdr:colOff>
      <xdr:row>6</xdr:row>
      <xdr:rowOff>169611</xdr:rowOff>
    </xdr:from>
    <xdr:ext cx="2213919" cy="257223"/>
    <xdr:sp macro="" textlink="">
      <xdr:nvSpPr>
        <xdr:cNvPr id="28" name="TextBox 27">
          <a:extLst>
            <a:ext uri="{FF2B5EF4-FFF2-40B4-BE49-F238E27FC236}">
              <a16:creationId xmlns:a16="http://schemas.microsoft.com/office/drawing/2014/main" id="{18B16935-17CD-DD8F-8AC8-03B4666177EA}"/>
            </a:ext>
          </a:extLst>
        </xdr:cNvPr>
        <xdr:cNvSpPr txBox="1"/>
      </xdr:nvSpPr>
      <xdr:spPr>
        <a:xfrm>
          <a:off x="2100645" y="1219935"/>
          <a:ext cx="2213919" cy="257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26</xdr:col>
      <xdr:colOff>492368</xdr:colOff>
      <xdr:row>5</xdr:row>
      <xdr:rowOff>55643</xdr:rowOff>
    </xdr:from>
    <xdr:to>
      <xdr:col>30</xdr:col>
      <xdr:colOff>622147</xdr:colOff>
      <xdr:row>10</xdr:row>
      <xdr:rowOff>87841</xdr:rowOff>
    </xdr:to>
    <xdr:sp macro="" textlink="'pivot tables'!G11">
      <xdr:nvSpPr>
        <xdr:cNvPr id="14" name="Rectangle: Rounded Corners 13">
          <a:extLst>
            <a:ext uri="{FF2B5EF4-FFF2-40B4-BE49-F238E27FC236}">
              <a16:creationId xmlns:a16="http://schemas.microsoft.com/office/drawing/2014/main" id="{E744EB3E-5473-72E1-8B05-044A1EDD1D24}"/>
            </a:ext>
          </a:extLst>
        </xdr:cNvPr>
        <xdr:cNvSpPr/>
      </xdr:nvSpPr>
      <xdr:spPr>
        <a:xfrm>
          <a:off x="17865968" y="934874"/>
          <a:ext cx="2802641" cy="911429"/>
        </a:xfrm>
        <a:prstGeom prst="roundRect">
          <a:avLst/>
        </a:prstGeom>
        <a:solidFill>
          <a:schemeClr val="accent2">
            <a:lumMod val="40000"/>
            <a:lumOff val="6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kern="1200">
              <a:solidFill>
                <a:srgbClr val="000000"/>
              </a:solidFill>
              <a:latin typeface="Tw Cen MT"/>
            </a:rPr>
            <a:t>Agent</a:t>
          </a:r>
          <a:r>
            <a:rPr lang="en-US" sz="2000" b="0" i="0" u="none" strike="noStrike" kern="1200" baseline="0">
              <a:solidFill>
                <a:srgbClr val="000000"/>
              </a:solidFill>
              <a:latin typeface="Tw Cen MT"/>
            </a:rPr>
            <a:t> Contribution</a:t>
          </a:r>
          <a:endParaRPr lang="en-US" sz="2000" b="0" i="0" u="none" strike="noStrike" kern="1200">
            <a:solidFill>
              <a:srgbClr val="000000"/>
            </a:solidFill>
            <a:latin typeface="Tw Cen MT"/>
          </a:endParaRPr>
        </a:p>
        <a:p>
          <a:pPr algn="ctr"/>
          <a:fld id="{CC778B05-1632-43EC-869B-1E3C18B46FD3}" type="TxLink">
            <a:rPr lang="en-US" sz="2000" b="0" i="0" u="none" strike="noStrike" kern="1200">
              <a:solidFill>
                <a:srgbClr val="000000"/>
              </a:solidFill>
              <a:latin typeface="Tw Cen MT"/>
            </a:rPr>
            <a:pPr algn="ctr"/>
            <a:t>80667</a:t>
          </a:fld>
          <a:endParaRPr lang="en-IN" sz="2000" kern="1200"/>
        </a:p>
      </xdr:txBody>
    </xdr:sp>
    <xdr:clientData/>
  </xdr:twoCellAnchor>
  <xdr:twoCellAnchor>
    <xdr:from>
      <xdr:col>0</xdr:col>
      <xdr:colOff>0</xdr:colOff>
      <xdr:row>36</xdr:row>
      <xdr:rowOff>54267</xdr:rowOff>
    </xdr:from>
    <xdr:to>
      <xdr:col>2</xdr:col>
      <xdr:colOff>602226</xdr:colOff>
      <xdr:row>46</xdr:row>
      <xdr:rowOff>82629</xdr:rowOff>
    </xdr:to>
    <xdr:sp macro="" textlink="'pivot tables'!C26">
      <xdr:nvSpPr>
        <xdr:cNvPr id="16" name="Rectangle: Rounded Corners 15">
          <a:extLst>
            <a:ext uri="{FF2B5EF4-FFF2-40B4-BE49-F238E27FC236}">
              <a16:creationId xmlns:a16="http://schemas.microsoft.com/office/drawing/2014/main" id="{9D351F43-33F4-E9AA-0176-825F97D6B5F4}"/>
            </a:ext>
          </a:extLst>
        </xdr:cNvPr>
        <xdr:cNvSpPr/>
      </xdr:nvSpPr>
      <xdr:spPr>
        <a:xfrm>
          <a:off x="0" y="6384729"/>
          <a:ext cx="1938657" cy="1786823"/>
        </a:xfrm>
        <a:prstGeom prst="roundRect">
          <a:avLst/>
        </a:prstGeom>
        <a:solidFill>
          <a:schemeClr val="accent2">
            <a:lumMod val="40000"/>
            <a:lumOff val="6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i="0" u="none" strike="noStrike" kern="1200">
              <a:solidFill>
                <a:srgbClr val="002060"/>
              </a:solidFill>
              <a:latin typeface="Tw Cen MT"/>
            </a:rPr>
            <a:t>Average</a:t>
          </a:r>
          <a:r>
            <a:rPr lang="en-US" sz="2400" b="0" i="0" u="none" strike="noStrike" kern="1200" baseline="0">
              <a:solidFill>
                <a:srgbClr val="002060"/>
              </a:solidFill>
              <a:latin typeface="Tw Cen MT"/>
            </a:rPr>
            <a:t> branch performance index</a:t>
          </a:r>
          <a:fld id="{B200A18B-9235-4788-9F52-3DA101FFDA4E}" type="TxLink">
            <a:rPr lang="en-US" sz="2400" b="0" i="0" u="none" strike="noStrike" kern="1200">
              <a:solidFill>
                <a:srgbClr val="002060"/>
              </a:solidFill>
              <a:latin typeface="Tw Cen MT"/>
            </a:rPr>
            <a:pPr algn="l"/>
            <a:t>5.49</a:t>
          </a:fld>
          <a:endParaRPr lang="en-IN" sz="2400" kern="1200">
            <a:solidFill>
              <a:srgbClr val="002060"/>
            </a:solidFill>
          </a:endParaRPr>
        </a:p>
      </xdr:txBody>
    </xdr:sp>
    <xdr:clientData/>
  </xdr:twoCellAnchor>
  <xdr:twoCellAnchor>
    <xdr:from>
      <xdr:col>6</xdr:col>
      <xdr:colOff>58616</xdr:colOff>
      <xdr:row>0</xdr:row>
      <xdr:rowOff>128953</xdr:rowOff>
    </xdr:from>
    <xdr:to>
      <xdr:col>22</xdr:col>
      <xdr:colOff>386862</xdr:colOff>
      <xdr:row>4</xdr:row>
      <xdr:rowOff>164123</xdr:rowOff>
    </xdr:to>
    <xdr:sp macro="" textlink="">
      <xdr:nvSpPr>
        <xdr:cNvPr id="20" name="Rectangle 19">
          <a:extLst>
            <a:ext uri="{FF2B5EF4-FFF2-40B4-BE49-F238E27FC236}">
              <a16:creationId xmlns:a16="http://schemas.microsoft.com/office/drawing/2014/main" id="{3E704AFB-9179-DFB7-020B-DA76D6801137}"/>
            </a:ext>
          </a:extLst>
        </xdr:cNvPr>
        <xdr:cNvSpPr/>
      </xdr:nvSpPr>
      <xdr:spPr>
        <a:xfrm>
          <a:off x="4067908" y="128953"/>
          <a:ext cx="11019692" cy="738555"/>
        </a:xfrm>
        <a:prstGeom prst="rect">
          <a:avLst/>
        </a:prstGeom>
        <a:solidFill>
          <a:schemeClr val="accent1">
            <a:lumMod val="90000"/>
            <a:lumOff val="10000"/>
          </a:schemeClr>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10</xdr:col>
      <xdr:colOff>175845</xdr:colOff>
      <xdr:row>1</xdr:row>
      <xdr:rowOff>46893</xdr:rowOff>
    </xdr:from>
    <xdr:to>
      <xdr:col>18</xdr:col>
      <xdr:colOff>550985</xdr:colOff>
      <xdr:row>4</xdr:row>
      <xdr:rowOff>70338</xdr:rowOff>
    </xdr:to>
    <xdr:sp macro="" textlink="">
      <xdr:nvSpPr>
        <xdr:cNvPr id="24" name="TextBox 23">
          <a:extLst>
            <a:ext uri="{FF2B5EF4-FFF2-40B4-BE49-F238E27FC236}">
              <a16:creationId xmlns:a16="http://schemas.microsoft.com/office/drawing/2014/main" id="{E411F730-87BB-A660-01D7-FA1E528C68CE}"/>
            </a:ext>
          </a:extLst>
        </xdr:cNvPr>
        <xdr:cNvSpPr txBox="1"/>
      </xdr:nvSpPr>
      <xdr:spPr>
        <a:xfrm>
          <a:off x="6857999" y="222739"/>
          <a:ext cx="5720863" cy="5509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kern="1200">
              <a:latin typeface="Bernard MT Condensed" panose="02050806060905020404" pitchFamily="18" charset="0"/>
            </a:rPr>
            <a:t>Financial Performance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ONI PATIL" refreshedDate="45660.686668287039" createdVersion="8" refreshedVersion="8" minRefreshableVersion="3" recordCount="300" xr:uid="{F965E49E-BFFF-4195-B886-95313A88D4AC}">
  <cacheSource type="worksheet">
    <worksheetSource name="Table1"/>
  </cacheSource>
  <cacheFields count="18">
    <cacheField name="Branch" numFmtId="0">
      <sharedItems count="8">
        <s v="Mumbai"/>
        <s v="Ahmedabad"/>
        <s v="Delhi"/>
        <s v="Chennai"/>
        <s v="Kolkata"/>
        <s v="Bangalore"/>
        <s v="Hyderabad"/>
        <s v="Pune"/>
      </sharedItems>
    </cacheField>
    <cacheField name="Product" numFmtId="0">
      <sharedItems count="6">
        <s v="ULIP"/>
        <s v="Term Insurance"/>
        <s v="Child Plan"/>
        <s v="Endowment Plan"/>
        <s v="Pension Plan"/>
        <s v="Money Back Plan"/>
      </sharedItems>
    </cacheField>
    <cacheField name="Month" numFmtId="0">
      <sharedItems count="12">
        <s v="November"/>
        <s v="December"/>
        <s v="April"/>
        <s v="October"/>
        <s v="May"/>
        <s v="June"/>
        <s v="March"/>
        <s v="July"/>
        <s v="February"/>
        <s v="August"/>
        <s v="January"/>
        <s v="September"/>
      </sharedItems>
    </cacheField>
    <cacheField name="Policies Sold" numFmtId="0">
      <sharedItems containsSemiMixedTypes="0" containsString="0" containsNumber="1" containsInteger="1" minValue="59" maxValue="1985"/>
    </cacheField>
    <cacheField name="Premium Collected (in Lakhs)" numFmtId="0">
      <sharedItems containsSemiMixedTypes="0" containsString="0" containsNumber="1" minValue="40.29" maxValue="3493.18"/>
    </cacheField>
    <cacheField name="Claims Settled" numFmtId="0">
      <sharedItems containsSemiMixedTypes="0" containsString="0" containsNumber="1" containsInteger="1" minValue="12" maxValue="499"/>
    </cacheField>
    <cacheField name="Claims Amount Paid (in Lakhs)" numFmtId="0">
      <sharedItems containsSemiMixedTypes="0" containsString="0" containsNumber="1" minValue="10.39" maxValue="496.71"/>
    </cacheField>
    <cacheField name="Market Share (%)" numFmtId="0">
      <sharedItems containsSemiMixedTypes="0" containsString="0" containsNumber="1" minValue="5.2" maxValue="29.95"/>
    </cacheField>
    <cacheField name="Performance Rating" numFmtId="0">
      <sharedItems/>
    </cacheField>
    <cacheField name="Renewal Policies Sold" numFmtId="0">
      <sharedItems containsSemiMixedTypes="0" containsString="0" containsNumber="1" containsInteger="1" minValue="20" maxValue="1000"/>
    </cacheField>
    <cacheField name="Renewal Premium Collected (in Lakhs)" numFmtId="0">
      <sharedItems containsSemiMixedTypes="0" containsString="0" containsNumber="1" minValue="1.06" maxValue="49.89"/>
    </cacheField>
    <cacheField name="New Customers Acquired" numFmtId="0">
      <sharedItems containsSemiMixedTypes="0" containsString="0" containsNumber="1" containsInteger="1" minValue="15" maxValue="500"/>
    </cacheField>
    <cacheField name="Customer Retention Rate (%)" numFmtId="0">
      <sharedItems containsSemiMixedTypes="0" containsString="0" containsNumber="1" minValue="50.17" maxValue="99.63"/>
    </cacheField>
    <cacheField name="Claim Settlement Ratio (%)" numFmtId="0">
      <sharedItems containsSemiMixedTypes="0" containsString="0" containsNumber="1" minValue="80" maxValue="98.97"/>
    </cacheField>
    <cacheField name="Agent Count" numFmtId="0">
      <sharedItems containsSemiMixedTypes="0" containsString="0" containsNumber="1" containsInteger="1" minValue="50" maxValue="500" count="223">
        <n v="71"/>
        <n v="343"/>
        <n v="124"/>
        <n v="418"/>
        <n v="280"/>
        <n v="369"/>
        <n v="381"/>
        <n v="391"/>
        <n v="295"/>
        <n v="101"/>
        <n v="437"/>
        <n v="345"/>
        <n v="68"/>
        <n v="55"/>
        <n v="257"/>
        <n v="148"/>
        <n v="382"/>
        <n v="174"/>
        <n v="408"/>
        <n v="492"/>
        <n v="244"/>
        <n v="480"/>
        <n v="255"/>
        <n v="414"/>
        <n v="189"/>
        <n v="145"/>
        <n v="107"/>
        <n v="386"/>
        <n v="206"/>
        <n v="424"/>
        <n v="335"/>
        <n v="108"/>
        <n v="328"/>
        <n v="462"/>
        <n v="426"/>
        <n v="97"/>
        <n v="103"/>
        <n v="347"/>
        <n v="227"/>
        <n v="69"/>
        <n v="121"/>
        <n v="450"/>
        <n v="313"/>
        <n v="116"/>
        <n v="259"/>
        <n v="338"/>
        <n v="202"/>
        <n v="442"/>
        <n v="431"/>
        <n v="498"/>
        <n v="318"/>
        <n v="73"/>
        <n v="169"/>
        <n v="458"/>
        <n v="118"/>
        <n v="323"/>
        <n v="433"/>
        <n v="86"/>
        <n v="209"/>
        <n v="197"/>
        <n v="277"/>
        <n v="199"/>
        <n v="123"/>
        <n v="468"/>
        <n v="417"/>
        <n v="332"/>
        <n v="410"/>
        <n v="214"/>
        <n v="288"/>
        <n v="91"/>
        <n v="243"/>
        <n v="388"/>
        <n v="195"/>
        <n v="74"/>
        <n v="319"/>
        <n v="249"/>
        <n v="342"/>
        <n v="291"/>
        <n v="416"/>
        <n v="339"/>
        <n v="178"/>
        <n v="428"/>
        <n v="278"/>
        <n v="63"/>
        <n v="401"/>
        <n v="474"/>
        <n v="471"/>
        <n v="190"/>
        <n v="266"/>
        <n v="168"/>
        <n v="90"/>
        <n v="231"/>
        <n v="126"/>
        <n v="141"/>
        <n v="403"/>
        <n v="448"/>
        <n v="394"/>
        <n v="377"/>
        <n v="374"/>
        <n v="485"/>
        <n v="260"/>
        <n v="246"/>
        <n v="50"/>
        <n v="360"/>
        <n v="100"/>
        <n v="258"/>
        <n v="226"/>
        <n v="177"/>
        <n v="95"/>
        <n v="447"/>
        <n v="351"/>
        <n v="454"/>
        <n v="398"/>
        <n v="337"/>
        <n v="181"/>
        <n v="72"/>
        <n v="346"/>
        <n v="449"/>
        <n v="362"/>
        <n v="275"/>
        <n v="349"/>
        <n v="268"/>
        <n v="170"/>
        <n v="354"/>
        <n v="383"/>
        <n v="198"/>
        <n v="114"/>
        <n v="54"/>
        <n v="204"/>
        <n v="234"/>
        <n v="445"/>
        <n v="294"/>
        <n v="367"/>
        <n v="136"/>
        <n v="348"/>
        <n v="439"/>
        <n v="341"/>
        <n v="154"/>
        <n v="162"/>
        <n v="67"/>
        <n v="52"/>
        <n v="397"/>
        <n v="109"/>
        <n v="238"/>
        <n v="271"/>
        <n v="375"/>
        <n v="491"/>
        <n v="363"/>
        <n v="110"/>
        <n v="366"/>
        <n v="250"/>
        <n v="310"/>
        <n v="483"/>
        <n v="353"/>
        <n v="146"/>
        <n v="307"/>
        <n v="314"/>
        <n v="305"/>
        <n v="432"/>
        <n v="404"/>
        <n v="165"/>
        <n v="120"/>
        <n v="112"/>
        <n v="105"/>
        <n v="175"/>
        <n v="455"/>
        <n v="213"/>
        <n v="399"/>
        <n v="252"/>
        <n v="316"/>
        <n v="359"/>
        <n v="187"/>
        <n v="219"/>
        <n v="247"/>
        <n v="287"/>
        <n v="211"/>
        <n v="135"/>
        <n v="129"/>
        <n v="435"/>
        <n v="251"/>
        <n v="149"/>
        <n v="500"/>
        <n v="62"/>
        <n v="297"/>
        <n v="333"/>
        <n v="425"/>
        <n v="142"/>
        <n v="127"/>
        <n v="444"/>
        <n v="281"/>
        <n v="285"/>
        <n v="476"/>
        <n v="188"/>
        <n v="331"/>
        <n v="106"/>
        <n v="94"/>
        <n v="81"/>
        <n v="489"/>
        <n v="254"/>
        <n v="225"/>
        <n v="83"/>
        <n v="379"/>
        <n v="301"/>
        <n v="184"/>
        <n v="389"/>
        <n v="317"/>
        <n v="60"/>
        <n v="98"/>
        <n v="159"/>
        <n v="441"/>
        <n v="58"/>
        <n v="80"/>
        <n v="150"/>
        <n v="392"/>
        <n v="164"/>
        <n v="65"/>
        <n v="384"/>
        <n v="355"/>
        <n v="61"/>
        <n v="82"/>
        <n v="436"/>
        <n v="239"/>
        <n v="66"/>
      </sharedItems>
    </cacheField>
    <cacheField name="Branch Performance Index" numFmtId="0">
      <sharedItems containsSemiMixedTypes="0" containsString="0" containsNumber="1" minValue="1" maxValue="9.9700000000000006" count="248">
        <n v="9.23"/>
        <n v="3.11"/>
        <n v="5.09"/>
        <n v="8.19"/>
        <n v="7.88"/>
        <n v="1.51"/>
        <n v="7.95"/>
        <n v="4.99"/>
        <n v="8.36"/>
        <n v="1.23"/>
        <n v="1.61"/>
        <n v="4.6399999999999997"/>
        <n v="5.85"/>
        <n v="2.2599999999999998"/>
        <n v="6.23"/>
        <n v="2.2000000000000002"/>
        <n v="6.92"/>
        <n v="3"/>
        <n v="3.48"/>
        <n v="9.82"/>
        <n v="1.57"/>
        <n v="8.76"/>
        <n v="9.83"/>
        <n v="2.4500000000000002"/>
        <n v="9.31"/>
        <n v="6.6"/>
        <n v="4.9400000000000004"/>
        <n v="5.15"/>
        <n v="7.44"/>
        <n v="9.1"/>
        <n v="8.31"/>
        <n v="2.4700000000000002"/>
        <n v="9.9700000000000006"/>
        <n v="6.51"/>
        <n v="4.6100000000000003"/>
        <n v="7.43"/>
        <n v="6.33"/>
        <n v="3.18"/>
        <n v="8.5299999999999994"/>
        <n v="5.45"/>
        <n v="8.08"/>
        <n v="5.13"/>
        <n v="5.23"/>
        <n v="4.92"/>
        <n v="8.77"/>
        <n v="6.54"/>
        <n v="6.17"/>
        <n v="5.28"/>
        <n v="6.05"/>
        <n v="4.18"/>
        <n v="4.5199999999999996"/>
        <n v="6.89"/>
        <n v="7.92"/>
        <n v="3.51"/>
        <n v="5.98"/>
        <n v="1.64"/>
        <n v="2.73"/>
        <n v="2.27"/>
        <n v="8.85"/>
        <n v="9.8000000000000007"/>
        <n v="2.21"/>
        <n v="6.3"/>
        <n v="6.32"/>
        <n v="6.81"/>
        <n v="8.2899999999999991"/>
        <n v="2.83"/>
        <n v="7.97"/>
        <n v="7.3"/>
        <n v="1.31"/>
        <n v="7.16"/>
        <n v="1.29"/>
        <n v="1.91"/>
        <n v="2.11"/>
        <n v="2.17"/>
        <n v="2.87"/>
        <n v="2.33"/>
        <n v="4.01"/>
        <n v="2.38"/>
        <n v="3.56"/>
        <n v="2.57"/>
        <n v="5.53"/>
        <n v="3.14"/>
        <n v="8.24"/>
        <n v="9.73"/>
        <n v="6.2"/>
        <n v="9.58"/>
        <n v="2"/>
        <n v="5.76"/>
        <n v="7.74"/>
        <n v="8.7899999999999991"/>
        <n v="8.58"/>
        <n v="5.31"/>
        <n v="7.05"/>
        <n v="9.9499999999999993"/>
        <n v="2.65"/>
        <n v="3.49"/>
        <n v="7.66"/>
        <n v="4.58"/>
        <n v="3.28"/>
        <n v="2.31"/>
        <n v="9.44"/>
        <n v="1.49"/>
        <n v="7.84"/>
        <n v="9.1999999999999993"/>
        <n v="8.17"/>
        <n v="2.88"/>
        <n v="5.48"/>
        <n v="1.52"/>
        <n v="7.62"/>
        <n v="9.66"/>
        <n v="5.04"/>
        <n v="7.86"/>
        <n v="3.36"/>
        <n v="3.63"/>
        <n v="5.97"/>
        <n v="6.74"/>
        <n v="4.76"/>
        <n v="3.96"/>
        <n v="7.96"/>
        <n v="2.82"/>
        <n v="9.01"/>
        <n v="6.63"/>
        <n v="3.97"/>
        <n v="6.5"/>
        <n v="2.64"/>
        <n v="8.02"/>
        <n v="8.11"/>
        <n v="7.71"/>
        <n v="1.01"/>
        <n v="2.75"/>
        <n v="6.29"/>
        <n v="5.3"/>
        <n v="8.7100000000000009"/>
        <n v="9.15"/>
        <n v="1.96"/>
        <n v="6.01"/>
        <n v="7.37"/>
        <n v="9.27"/>
        <n v="8.51"/>
        <n v="1.53"/>
        <n v="9.52"/>
        <n v="4.1399999999999997"/>
        <n v="1.63"/>
        <n v="7.03"/>
        <n v="9.56"/>
        <n v="5.05"/>
        <n v="2.41"/>
        <n v="9.7200000000000006"/>
        <n v="4.4000000000000004"/>
        <n v="1.1599999999999999"/>
        <n v="7.34"/>
        <n v="8.5"/>
        <n v="6.41"/>
        <n v="3.59"/>
        <n v="2.14"/>
        <n v="5.44"/>
        <n v="7.63"/>
        <n v="4.7699999999999996"/>
        <n v="1.0900000000000001"/>
        <n v="9.2200000000000006"/>
        <n v="6.47"/>
        <n v="2.1"/>
        <n v="7.18"/>
        <n v="4.97"/>
        <n v="6.61"/>
        <n v="3.01"/>
        <n v="1.4"/>
        <n v="8.16"/>
        <n v="8.3699999999999992"/>
        <n v="2.89"/>
        <n v="2.54"/>
        <n v="3.09"/>
        <n v="4.91"/>
        <n v="2.91"/>
        <n v="9.85"/>
        <n v="6.16"/>
        <n v="1.21"/>
        <n v="7.1"/>
        <n v="6.97"/>
        <n v="6.68"/>
        <n v="1.71"/>
        <n v="6.4"/>
        <n v="8.2100000000000009"/>
        <n v="4.54"/>
        <n v="8.56"/>
        <n v="4.84"/>
        <n v="2.84"/>
        <n v="3.44"/>
        <n v="7.76"/>
        <n v="6.12"/>
        <n v="6.79"/>
        <n v="9.2899999999999991"/>
        <n v="8.07"/>
        <n v="5.99"/>
        <n v="8.9600000000000009"/>
        <n v="9.0299999999999994"/>
        <n v="6.99"/>
        <n v="9.4"/>
        <n v="7.53"/>
        <n v="8.75"/>
        <n v="4.57"/>
        <n v="4.67"/>
        <n v="7.68"/>
        <n v="2.85"/>
        <n v="2.68"/>
        <n v="4.22"/>
        <n v="4"/>
        <n v="1.69"/>
        <n v="7.12"/>
        <n v="2.5299999999999998"/>
        <n v="8.41"/>
        <n v="7.5"/>
        <n v="5.88"/>
        <n v="3.47"/>
        <n v="9.6199999999999992"/>
        <n v="3.04"/>
        <n v="4.3"/>
        <n v="4.0199999999999996"/>
        <n v="6.02"/>
        <n v="5.61"/>
        <n v="9.0399999999999991"/>
        <n v="1.99"/>
        <n v="7.8"/>
        <n v="3.83"/>
        <n v="3.94"/>
        <n v="8.1999999999999993"/>
        <n v="1.79"/>
        <n v="4.68"/>
        <n v="1.38"/>
        <n v="3.81"/>
        <n v="9.4600000000000009"/>
        <n v="8.83"/>
        <n v="3.42"/>
        <n v="9.48"/>
        <n v="6.27"/>
        <n v="8.61"/>
        <n v="4.75"/>
        <n v="8.7799999999999994"/>
        <n v="7.14"/>
        <n v="9.34"/>
        <n v="6.42"/>
        <n v="1"/>
        <n v="6.35"/>
        <n v="6.1"/>
        <n v="8.69"/>
        <n v="4.4800000000000004"/>
        <n v="2.4"/>
        <n v="5.49"/>
      </sharedItems>
    </cacheField>
    <cacheField name="Column1" numFmtId="0">
      <sharedItems containsNonDate="0" containsString="0" containsBlank="1"/>
    </cacheField>
    <cacheField name="Column2" numFmtId="0">
      <sharedItems containsNonDate="0" containsString="0" containsBlank="1"/>
    </cacheField>
  </cacheFields>
  <extLst>
    <ext xmlns:x14="http://schemas.microsoft.com/office/spreadsheetml/2009/9/main" uri="{725AE2AE-9491-48be-B2B4-4EB974FC3084}">
      <x14:pivotCacheDefinition pivotCacheId="470257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837"/>
    <n v="537.16999999999996"/>
    <n v="358"/>
    <n v="61.86"/>
    <n v="27.57"/>
    <s v="Excellent"/>
    <n v="963"/>
    <n v="24.14"/>
    <n v="66"/>
    <n v="99.12"/>
    <n v="90.94"/>
    <x v="0"/>
    <x v="0"/>
    <m/>
    <m/>
  </r>
  <r>
    <x v="1"/>
    <x v="1"/>
    <x v="1"/>
    <n v="1110"/>
    <n v="2209.1999999999998"/>
    <n v="126"/>
    <n v="42.11"/>
    <n v="8.6300000000000008"/>
    <s v="Excellent"/>
    <n v="299"/>
    <n v="10.02"/>
    <n v="266"/>
    <n v="66.599999999999994"/>
    <n v="81.56"/>
    <x v="1"/>
    <x v="1"/>
    <m/>
    <m/>
  </r>
  <r>
    <x v="1"/>
    <x v="2"/>
    <x v="2"/>
    <n v="547"/>
    <n v="959.91"/>
    <n v="217"/>
    <n v="324.36"/>
    <n v="5.98"/>
    <s v="Good"/>
    <n v="203"/>
    <n v="17.66"/>
    <n v="227"/>
    <n v="75.64"/>
    <n v="97.99"/>
    <x v="2"/>
    <x v="2"/>
    <m/>
    <m/>
  </r>
  <r>
    <x v="2"/>
    <x v="3"/>
    <x v="3"/>
    <n v="925"/>
    <n v="1733.65"/>
    <n v="270"/>
    <n v="215.91"/>
    <n v="17.190000000000001"/>
    <s v="Average"/>
    <n v="72"/>
    <n v="30.94"/>
    <n v="485"/>
    <n v="64.16"/>
    <n v="94.11"/>
    <x v="3"/>
    <x v="3"/>
    <m/>
    <m/>
  </r>
  <r>
    <x v="2"/>
    <x v="2"/>
    <x v="2"/>
    <n v="680"/>
    <n v="639.91999999999996"/>
    <n v="430"/>
    <n v="190.93"/>
    <n v="18.079999999999998"/>
    <s v="Excellent"/>
    <n v="927"/>
    <n v="19.559999999999999"/>
    <n v="105"/>
    <n v="73"/>
    <n v="81.14"/>
    <x v="4"/>
    <x v="4"/>
    <m/>
    <m/>
  </r>
  <r>
    <x v="2"/>
    <x v="4"/>
    <x v="3"/>
    <n v="771"/>
    <n v="1514.99"/>
    <n v="205"/>
    <n v="255.77"/>
    <n v="11.73"/>
    <s v="Below Average"/>
    <n v="931"/>
    <n v="16.149999999999999"/>
    <n v="199"/>
    <n v="88.83"/>
    <n v="93.93"/>
    <x v="5"/>
    <x v="5"/>
    <m/>
    <m/>
  </r>
  <r>
    <x v="1"/>
    <x v="0"/>
    <x v="4"/>
    <n v="1432"/>
    <n v="2616.12"/>
    <n v="260"/>
    <n v="280.58"/>
    <n v="28.53"/>
    <s v="Below Average"/>
    <n v="720"/>
    <n v="24.92"/>
    <n v="399"/>
    <n v="51.66"/>
    <n v="92.95"/>
    <x v="6"/>
    <x v="6"/>
    <m/>
    <m/>
  </r>
  <r>
    <x v="1"/>
    <x v="5"/>
    <x v="5"/>
    <n v="490"/>
    <n v="721.14"/>
    <n v="37"/>
    <n v="52.8"/>
    <n v="29.95"/>
    <s v="Good"/>
    <n v="154"/>
    <n v="49"/>
    <n v="243"/>
    <n v="63.31"/>
    <n v="89.89"/>
    <x v="7"/>
    <x v="7"/>
    <m/>
    <m/>
  </r>
  <r>
    <x v="0"/>
    <x v="3"/>
    <x v="6"/>
    <n v="1336"/>
    <n v="1368.51"/>
    <n v="197"/>
    <n v="145.16"/>
    <n v="16.920000000000002"/>
    <s v="Below Average"/>
    <n v="981"/>
    <n v="13.34"/>
    <n v="416"/>
    <n v="53.18"/>
    <n v="91.31"/>
    <x v="8"/>
    <x v="8"/>
    <m/>
    <m/>
  </r>
  <r>
    <x v="3"/>
    <x v="1"/>
    <x v="7"/>
    <n v="1578"/>
    <n v="2107.75"/>
    <n v="497"/>
    <n v="338.21"/>
    <n v="28.92"/>
    <s v="Excellent"/>
    <n v="950"/>
    <n v="26.59"/>
    <n v="339"/>
    <n v="66.63"/>
    <n v="97.33"/>
    <x v="9"/>
    <x v="9"/>
    <m/>
    <m/>
  </r>
  <r>
    <x v="4"/>
    <x v="2"/>
    <x v="5"/>
    <n v="846"/>
    <n v="1100.4000000000001"/>
    <n v="429"/>
    <n v="220.09"/>
    <n v="27.58"/>
    <s v="Good"/>
    <n v="733"/>
    <n v="25.92"/>
    <n v="314"/>
    <n v="53.42"/>
    <n v="95.95"/>
    <x v="10"/>
    <x v="10"/>
    <m/>
    <m/>
  </r>
  <r>
    <x v="2"/>
    <x v="4"/>
    <x v="8"/>
    <n v="1073"/>
    <n v="2128.0700000000002"/>
    <n v="31"/>
    <n v="317.72000000000003"/>
    <n v="24.44"/>
    <s v="Below Average"/>
    <n v="565"/>
    <n v="49.62"/>
    <n v="498"/>
    <n v="90.54"/>
    <n v="96.56"/>
    <x v="11"/>
    <x v="11"/>
    <m/>
    <m/>
  </r>
  <r>
    <x v="3"/>
    <x v="4"/>
    <x v="9"/>
    <n v="670"/>
    <n v="545.20000000000005"/>
    <n v="462"/>
    <n v="414.23"/>
    <n v="26.86"/>
    <s v="Below Average"/>
    <n v="730"/>
    <n v="21.31"/>
    <n v="463"/>
    <n v="83.13"/>
    <n v="80.16"/>
    <x v="12"/>
    <x v="12"/>
    <m/>
    <m/>
  </r>
  <r>
    <x v="1"/>
    <x v="5"/>
    <x v="3"/>
    <n v="1055"/>
    <n v="865.6"/>
    <n v="138"/>
    <n v="357.53"/>
    <n v="27"/>
    <s v="Good"/>
    <n v="551"/>
    <n v="10.35"/>
    <n v="362"/>
    <n v="63.68"/>
    <n v="93.88"/>
    <x v="13"/>
    <x v="13"/>
    <m/>
    <m/>
  </r>
  <r>
    <x v="0"/>
    <x v="2"/>
    <x v="9"/>
    <n v="81"/>
    <n v="106.99"/>
    <n v="486"/>
    <n v="109.37"/>
    <n v="26.74"/>
    <s v="Good"/>
    <n v="151"/>
    <n v="6.36"/>
    <n v="341"/>
    <n v="84.36"/>
    <n v="88.6"/>
    <x v="14"/>
    <x v="14"/>
    <m/>
    <m/>
  </r>
  <r>
    <x v="5"/>
    <x v="3"/>
    <x v="7"/>
    <n v="878"/>
    <n v="1586.36"/>
    <n v="321"/>
    <n v="136.80000000000001"/>
    <n v="16"/>
    <s v="Excellent"/>
    <n v="691"/>
    <n v="47.18"/>
    <n v="238"/>
    <n v="59.9"/>
    <n v="89.11"/>
    <x v="2"/>
    <x v="15"/>
    <m/>
    <m/>
  </r>
  <r>
    <x v="6"/>
    <x v="5"/>
    <x v="8"/>
    <n v="703"/>
    <n v="683.76"/>
    <n v="69"/>
    <n v="357.86"/>
    <n v="8.67"/>
    <s v="Excellent"/>
    <n v="944"/>
    <n v="38.18"/>
    <n v="461"/>
    <n v="61.6"/>
    <n v="96.38"/>
    <x v="15"/>
    <x v="16"/>
    <m/>
    <m/>
  </r>
  <r>
    <x v="7"/>
    <x v="1"/>
    <x v="9"/>
    <n v="1822"/>
    <n v="975.11"/>
    <n v="69"/>
    <n v="426.23"/>
    <n v="23.59"/>
    <s v="Average"/>
    <n v="853"/>
    <n v="4.99"/>
    <n v="460"/>
    <n v="81.680000000000007"/>
    <n v="84.94"/>
    <x v="16"/>
    <x v="17"/>
    <m/>
    <m/>
  </r>
  <r>
    <x v="3"/>
    <x v="0"/>
    <x v="3"/>
    <n v="785"/>
    <n v="403.95"/>
    <n v="162"/>
    <n v="33.630000000000003"/>
    <n v="9.75"/>
    <s v="Excellent"/>
    <n v="395"/>
    <n v="49.6"/>
    <n v="241"/>
    <n v="88.72"/>
    <n v="98.19"/>
    <x v="17"/>
    <x v="18"/>
    <m/>
    <m/>
  </r>
  <r>
    <x v="3"/>
    <x v="0"/>
    <x v="10"/>
    <n v="1100"/>
    <n v="1669.45"/>
    <n v="117"/>
    <n v="228.74"/>
    <n v="17.21"/>
    <s v="Below Average"/>
    <n v="481"/>
    <n v="10.99"/>
    <n v="381"/>
    <n v="87.2"/>
    <n v="92.28"/>
    <x v="18"/>
    <x v="19"/>
    <m/>
    <m/>
  </r>
  <r>
    <x v="7"/>
    <x v="0"/>
    <x v="9"/>
    <n v="613"/>
    <n v="571.36"/>
    <n v="484"/>
    <n v="15.22"/>
    <n v="23.04"/>
    <s v="Below Average"/>
    <n v="522"/>
    <n v="21.68"/>
    <n v="484"/>
    <n v="89.99"/>
    <n v="85.25"/>
    <x v="19"/>
    <x v="20"/>
    <m/>
    <m/>
  </r>
  <r>
    <x v="3"/>
    <x v="2"/>
    <x v="0"/>
    <n v="754"/>
    <n v="393.76"/>
    <n v="481"/>
    <n v="156.32"/>
    <n v="29.3"/>
    <s v="Good"/>
    <n v="964"/>
    <n v="44.79"/>
    <n v="138"/>
    <n v="89.33"/>
    <n v="90.31"/>
    <x v="20"/>
    <x v="21"/>
    <m/>
    <m/>
  </r>
  <r>
    <x v="1"/>
    <x v="2"/>
    <x v="8"/>
    <n v="1073"/>
    <n v="1245.22"/>
    <n v="432"/>
    <n v="288.55"/>
    <n v="17.579999999999998"/>
    <s v="Excellent"/>
    <n v="219"/>
    <n v="6.29"/>
    <n v="206"/>
    <n v="50.17"/>
    <n v="89.24"/>
    <x v="21"/>
    <x v="22"/>
    <m/>
    <m/>
  </r>
  <r>
    <x v="7"/>
    <x v="4"/>
    <x v="6"/>
    <n v="1371"/>
    <n v="2034.56"/>
    <n v="137"/>
    <n v="219.33"/>
    <n v="21.39"/>
    <s v="Good"/>
    <n v="698"/>
    <n v="22.3"/>
    <n v="424"/>
    <n v="77.12"/>
    <n v="89.69"/>
    <x v="22"/>
    <x v="23"/>
    <m/>
    <m/>
  </r>
  <r>
    <x v="0"/>
    <x v="3"/>
    <x v="1"/>
    <n v="1871"/>
    <n v="3460.99"/>
    <n v="330"/>
    <n v="304.83"/>
    <n v="8.99"/>
    <s v="Excellent"/>
    <n v="881"/>
    <n v="29.32"/>
    <n v="158"/>
    <n v="82.37"/>
    <n v="96.6"/>
    <x v="23"/>
    <x v="24"/>
    <m/>
    <m/>
  </r>
  <r>
    <x v="6"/>
    <x v="3"/>
    <x v="4"/>
    <n v="1914"/>
    <n v="1369.17"/>
    <n v="136"/>
    <n v="321.54000000000002"/>
    <n v="5.51"/>
    <s v="Below Average"/>
    <n v="199"/>
    <n v="32.79"/>
    <n v="350"/>
    <n v="75.67"/>
    <n v="93.5"/>
    <x v="24"/>
    <x v="25"/>
    <m/>
    <m/>
  </r>
  <r>
    <x v="6"/>
    <x v="3"/>
    <x v="4"/>
    <n v="1374"/>
    <n v="2527.98"/>
    <n v="496"/>
    <n v="293.27999999999997"/>
    <n v="26.62"/>
    <s v="Good"/>
    <n v="575"/>
    <n v="14.76"/>
    <n v="374"/>
    <n v="61.25"/>
    <n v="98.9"/>
    <x v="25"/>
    <x v="26"/>
    <m/>
    <m/>
  </r>
  <r>
    <x v="5"/>
    <x v="0"/>
    <x v="7"/>
    <n v="1131"/>
    <n v="2243.5500000000002"/>
    <n v="300"/>
    <n v="407.51"/>
    <n v="15.66"/>
    <s v="Average"/>
    <n v="586"/>
    <n v="43.14"/>
    <n v="475"/>
    <n v="68.319999999999993"/>
    <n v="88.17"/>
    <x v="26"/>
    <x v="27"/>
    <m/>
    <m/>
  </r>
  <r>
    <x v="2"/>
    <x v="0"/>
    <x v="6"/>
    <n v="483"/>
    <n v="928.98"/>
    <n v="88"/>
    <n v="151.94"/>
    <n v="5.3"/>
    <s v="Average"/>
    <n v="160"/>
    <n v="18.84"/>
    <n v="474"/>
    <n v="80.849999999999994"/>
    <n v="92.56"/>
    <x v="27"/>
    <x v="28"/>
    <m/>
    <m/>
  </r>
  <r>
    <x v="7"/>
    <x v="3"/>
    <x v="3"/>
    <n v="1390"/>
    <n v="2619.87"/>
    <n v="325"/>
    <n v="95.94"/>
    <n v="15.36"/>
    <s v="Average"/>
    <n v="966"/>
    <n v="28.19"/>
    <n v="427"/>
    <n v="97.51"/>
    <n v="98.81"/>
    <x v="20"/>
    <x v="29"/>
    <m/>
    <m/>
  </r>
  <r>
    <x v="0"/>
    <x v="1"/>
    <x v="8"/>
    <n v="267"/>
    <n v="427.02"/>
    <n v="422"/>
    <n v="179.99"/>
    <n v="16.54"/>
    <s v="Good"/>
    <n v="226"/>
    <n v="1.0900000000000001"/>
    <n v="355"/>
    <n v="95.94"/>
    <n v="83.27"/>
    <x v="28"/>
    <x v="30"/>
    <m/>
    <m/>
  </r>
  <r>
    <x v="2"/>
    <x v="3"/>
    <x v="2"/>
    <n v="885"/>
    <n v="1223.6300000000001"/>
    <n v="473"/>
    <n v="275.64"/>
    <n v="26.35"/>
    <s v="Below Average"/>
    <n v="497"/>
    <n v="42.04"/>
    <n v="457"/>
    <n v="69.55"/>
    <n v="88.64"/>
    <x v="29"/>
    <x v="31"/>
    <m/>
    <m/>
  </r>
  <r>
    <x v="1"/>
    <x v="1"/>
    <x v="3"/>
    <n v="1544"/>
    <n v="2873.86"/>
    <n v="197"/>
    <n v="128.76"/>
    <n v="10.5"/>
    <s v="Average"/>
    <n v="190"/>
    <n v="49.43"/>
    <n v="172"/>
    <n v="95.37"/>
    <n v="95.71"/>
    <x v="30"/>
    <x v="32"/>
    <m/>
    <m/>
  </r>
  <r>
    <x v="3"/>
    <x v="0"/>
    <x v="4"/>
    <n v="436"/>
    <n v="675.51"/>
    <n v="461"/>
    <n v="452.43"/>
    <n v="28.11"/>
    <s v="Below Average"/>
    <n v="670"/>
    <n v="46.87"/>
    <n v="80"/>
    <n v="57.06"/>
    <n v="90.46"/>
    <x v="31"/>
    <x v="33"/>
    <m/>
    <m/>
  </r>
  <r>
    <x v="5"/>
    <x v="2"/>
    <x v="4"/>
    <n v="1780"/>
    <n v="1717.36"/>
    <n v="270"/>
    <n v="238.86"/>
    <n v="21.2"/>
    <s v="Excellent"/>
    <n v="774"/>
    <n v="3.06"/>
    <n v="35"/>
    <n v="90.94"/>
    <n v="89.41"/>
    <x v="32"/>
    <x v="34"/>
    <m/>
    <m/>
  </r>
  <r>
    <x v="2"/>
    <x v="1"/>
    <x v="1"/>
    <n v="192"/>
    <n v="219.7"/>
    <n v="351"/>
    <n v="179.27"/>
    <n v="28.56"/>
    <s v="Excellent"/>
    <n v="767"/>
    <n v="5.81"/>
    <n v="481"/>
    <n v="53.9"/>
    <n v="95.99"/>
    <x v="33"/>
    <x v="35"/>
    <m/>
    <m/>
  </r>
  <r>
    <x v="6"/>
    <x v="1"/>
    <x v="7"/>
    <n v="990"/>
    <n v="1458.75"/>
    <n v="209"/>
    <n v="222.14"/>
    <n v="23.8"/>
    <s v="Good"/>
    <n v="80"/>
    <n v="40.5"/>
    <n v="237"/>
    <n v="81.52"/>
    <n v="87.42"/>
    <x v="34"/>
    <x v="31"/>
    <m/>
    <m/>
  </r>
  <r>
    <x v="7"/>
    <x v="1"/>
    <x v="10"/>
    <n v="945"/>
    <n v="932.41"/>
    <n v="44"/>
    <n v="395.65"/>
    <n v="16.260000000000002"/>
    <s v="Excellent"/>
    <n v="657"/>
    <n v="22.03"/>
    <n v="185"/>
    <n v="73.42"/>
    <n v="88.17"/>
    <x v="35"/>
    <x v="36"/>
    <m/>
    <m/>
  </r>
  <r>
    <x v="3"/>
    <x v="0"/>
    <x v="6"/>
    <n v="150"/>
    <n v="202.25"/>
    <n v="322"/>
    <n v="83.55"/>
    <n v="8.69"/>
    <s v="Good"/>
    <n v="828"/>
    <n v="49.5"/>
    <n v="109"/>
    <n v="97.42"/>
    <n v="95.01"/>
    <x v="36"/>
    <x v="37"/>
    <m/>
    <m/>
  </r>
  <r>
    <x v="4"/>
    <x v="4"/>
    <x v="10"/>
    <n v="1816"/>
    <n v="2020.62"/>
    <n v="227"/>
    <n v="486.49"/>
    <n v="6.21"/>
    <s v="Average"/>
    <n v="35"/>
    <n v="36.71"/>
    <n v="346"/>
    <n v="93.34"/>
    <n v="86.64"/>
    <x v="37"/>
    <x v="38"/>
    <m/>
    <m/>
  </r>
  <r>
    <x v="5"/>
    <x v="3"/>
    <x v="9"/>
    <n v="534"/>
    <n v="824.72"/>
    <n v="35"/>
    <n v="25.55"/>
    <n v="29.1"/>
    <s v="Below Average"/>
    <n v="473"/>
    <n v="5.76"/>
    <n v="23"/>
    <n v="72.260000000000005"/>
    <n v="82.54"/>
    <x v="38"/>
    <x v="39"/>
    <m/>
    <m/>
  </r>
  <r>
    <x v="3"/>
    <x v="4"/>
    <x v="1"/>
    <n v="643"/>
    <n v="1062.48"/>
    <n v="231"/>
    <n v="187.14"/>
    <n v="20.39"/>
    <s v="Excellent"/>
    <n v="768"/>
    <n v="19.34"/>
    <n v="255"/>
    <n v="62.58"/>
    <n v="89.85"/>
    <x v="39"/>
    <x v="40"/>
    <m/>
    <m/>
  </r>
  <r>
    <x v="1"/>
    <x v="0"/>
    <x v="6"/>
    <n v="367"/>
    <n v="587.04999999999995"/>
    <n v="138"/>
    <n v="111.18"/>
    <n v="15.61"/>
    <s v="Excellent"/>
    <n v="554"/>
    <n v="15.68"/>
    <n v="354"/>
    <n v="99.63"/>
    <n v="82.06"/>
    <x v="40"/>
    <x v="41"/>
    <m/>
    <m/>
  </r>
  <r>
    <x v="7"/>
    <x v="3"/>
    <x v="1"/>
    <n v="1186"/>
    <n v="1912.13"/>
    <n v="196"/>
    <n v="69.97"/>
    <n v="28.98"/>
    <s v="Good"/>
    <n v="398"/>
    <n v="2.76"/>
    <n v="265"/>
    <n v="90.51"/>
    <n v="94.82"/>
    <x v="41"/>
    <x v="42"/>
    <m/>
    <m/>
  </r>
  <r>
    <x v="1"/>
    <x v="0"/>
    <x v="7"/>
    <n v="1002"/>
    <n v="1205.75"/>
    <n v="397"/>
    <n v="353.04"/>
    <n v="14.25"/>
    <s v="Excellent"/>
    <n v="87"/>
    <n v="35.840000000000003"/>
    <n v="30"/>
    <n v="95.56"/>
    <n v="87.42"/>
    <x v="42"/>
    <x v="43"/>
    <m/>
    <m/>
  </r>
  <r>
    <x v="1"/>
    <x v="5"/>
    <x v="4"/>
    <n v="108"/>
    <n v="168.71"/>
    <n v="124"/>
    <n v="216.27"/>
    <n v="15.95"/>
    <s v="Good"/>
    <n v="508"/>
    <n v="45.26"/>
    <n v="99"/>
    <n v="61.42"/>
    <n v="88.62"/>
    <x v="43"/>
    <x v="44"/>
    <m/>
    <m/>
  </r>
  <r>
    <x v="2"/>
    <x v="3"/>
    <x v="5"/>
    <n v="689"/>
    <n v="589.33000000000004"/>
    <n v="54"/>
    <n v="200.46"/>
    <n v="6.03"/>
    <s v="Below Average"/>
    <n v="50"/>
    <n v="5.96"/>
    <n v="344"/>
    <n v="54.72"/>
    <n v="93.67"/>
    <x v="44"/>
    <x v="45"/>
    <m/>
    <m/>
  </r>
  <r>
    <x v="4"/>
    <x v="4"/>
    <x v="8"/>
    <n v="899"/>
    <n v="638.33000000000004"/>
    <n v="23"/>
    <n v="66.63"/>
    <n v="18.190000000000001"/>
    <s v="Good"/>
    <n v="278"/>
    <n v="26.3"/>
    <n v="417"/>
    <n v="58.49"/>
    <n v="86.35"/>
    <x v="45"/>
    <x v="46"/>
    <m/>
    <m/>
  </r>
  <r>
    <x v="1"/>
    <x v="0"/>
    <x v="4"/>
    <n v="653"/>
    <n v="905.84"/>
    <n v="373"/>
    <n v="492.36"/>
    <n v="14.15"/>
    <s v="Below Average"/>
    <n v="883"/>
    <n v="45.81"/>
    <n v="89"/>
    <n v="98.62"/>
    <n v="96.98"/>
    <x v="46"/>
    <x v="47"/>
    <m/>
    <m/>
  </r>
  <r>
    <x v="1"/>
    <x v="4"/>
    <x v="4"/>
    <n v="1376"/>
    <n v="777.78"/>
    <n v="140"/>
    <n v="482.38"/>
    <n v="11.98"/>
    <s v="Average"/>
    <n v="394"/>
    <n v="10.93"/>
    <n v="45"/>
    <n v="90.63"/>
    <n v="91.61"/>
    <x v="47"/>
    <x v="48"/>
    <m/>
    <m/>
  </r>
  <r>
    <x v="3"/>
    <x v="1"/>
    <x v="1"/>
    <n v="1833"/>
    <n v="1566.92"/>
    <n v="62"/>
    <n v="171.21"/>
    <n v="17.03"/>
    <s v="Below Average"/>
    <n v="833"/>
    <n v="7.5"/>
    <n v="419"/>
    <n v="50.24"/>
    <n v="90.03"/>
    <x v="48"/>
    <x v="49"/>
    <m/>
    <m/>
  </r>
  <r>
    <x v="5"/>
    <x v="4"/>
    <x v="7"/>
    <n v="1961"/>
    <n v="2829.87"/>
    <n v="68"/>
    <n v="243.09"/>
    <n v="19.809999999999999"/>
    <s v="Average"/>
    <n v="423"/>
    <n v="13.45"/>
    <n v="153"/>
    <n v="70.67"/>
    <n v="80.8"/>
    <x v="49"/>
    <x v="50"/>
    <m/>
    <m/>
  </r>
  <r>
    <x v="7"/>
    <x v="0"/>
    <x v="0"/>
    <n v="1264"/>
    <n v="2493.02"/>
    <n v="416"/>
    <n v="153.22999999999999"/>
    <n v="10.9"/>
    <s v="Below Average"/>
    <n v="928"/>
    <n v="30.04"/>
    <n v="308"/>
    <n v="80.5"/>
    <n v="85.29"/>
    <x v="50"/>
    <x v="51"/>
    <m/>
    <m/>
  </r>
  <r>
    <x v="5"/>
    <x v="4"/>
    <x v="5"/>
    <n v="1864"/>
    <n v="1238.93"/>
    <n v="320"/>
    <n v="284.37"/>
    <n v="26.88"/>
    <s v="Excellent"/>
    <n v="948"/>
    <n v="14.56"/>
    <n v="231"/>
    <n v="58.08"/>
    <n v="93.79"/>
    <x v="51"/>
    <x v="52"/>
    <m/>
    <m/>
  </r>
  <r>
    <x v="3"/>
    <x v="0"/>
    <x v="1"/>
    <n v="563"/>
    <n v="932.56"/>
    <n v="146"/>
    <n v="77.34"/>
    <n v="12.52"/>
    <s v="Excellent"/>
    <n v="244"/>
    <n v="28.59"/>
    <n v="100"/>
    <n v="86.39"/>
    <n v="97.61"/>
    <x v="52"/>
    <x v="28"/>
    <m/>
    <m/>
  </r>
  <r>
    <x v="2"/>
    <x v="3"/>
    <x v="4"/>
    <n v="1914"/>
    <n v="1678.32"/>
    <n v="176"/>
    <n v="155.9"/>
    <n v="11.67"/>
    <s v="Average"/>
    <n v="409"/>
    <n v="45.21"/>
    <n v="248"/>
    <n v="53.04"/>
    <n v="98.97"/>
    <x v="34"/>
    <x v="53"/>
    <m/>
    <m/>
  </r>
  <r>
    <x v="1"/>
    <x v="3"/>
    <x v="6"/>
    <n v="850"/>
    <n v="941.4"/>
    <n v="470"/>
    <n v="317.85000000000002"/>
    <n v="7.28"/>
    <s v="Average"/>
    <n v="387"/>
    <n v="5.48"/>
    <n v="227"/>
    <n v="93.78"/>
    <n v="83.47"/>
    <x v="53"/>
    <x v="54"/>
    <m/>
    <m/>
  </r>
  <r>
    <x v="7"/>
    <x v="4"/>
    <x v="1"/>
    <n v="845"/>
    <n v="530.07000000000005"/>
    <n v="368"/>
    <n v="390.64"/>
    <n v="21.72"/>
    <s v="Below Average"/>
    <n v="453"/>
    <n v="4.5599999999999996"/>
    <n v="440"/>
    <n v="78.09"/>
    <n v="96.22"/>
    <x v="54"/>
    <x v="55"/>
    <m/>
    <m/>
  </r>
  <r>
    <x v="2"/>
    <x v="2"/>
    <x v="11"/>
    <n v="314"/>
    <n v="334.5"/>
    <n v="152"/>
    <n v="161.93"/>
    <n v="6.2"/>
    <s v="Excellent"/>
    <n v="261"/>
    <n v="19.03"/>
    <n v="131"/>
    <n v="64.11"/>
    <n v="95.7"/>
    <x v="55"/>
    <x v="56"/>
    <m/>
    <m/>
  </r>
  <r>
    <x v="6"/>
    <x v="1"/>
    <x v="0"/>
    <n v="1516"/>
    <n v="2009.79"/>
    <n v="299"/>
    <n v="171.97"/>
    <n v="15.18"/>
    <s v="Average"/>
    <n v="491"/>
    <n v="2.36"/>
    <n v="288"/>
    <n v="61.1"/>
    <n v="90.24"/>
    <x v="37"/>
    <x v="57"/>
    <m/>
    <m/>
  </r>
  <r>
    <x v="0"/>
    <x v="4"/>
    <x v="5"/>
    <n v="1937"/>
    <n v="2841.14"/>
    <n v="311"/>
    <n v="223.3"/>
    <n v="28.75"/>
    <s v="Average"/>
    <n v="897"/>
    <n v="17.45"/>
    <n v="200"/>
    <n v="59.28"/>
    <n v="90.37"/>
    <x v="56"/>
    <x v="58"/>
    <m/>
    <m/>
  </r>
  <r>
    <x v="3"/>
    <x v="5"/>
    <x v="3"/>
    <n v="1065"/>
    <n v="665.46"/>
    <n v="450"/>
    <n v="477.6"/>
    <n v="15.16"/>
    <s v="Below Average"/>
    <n v="878"/>
    <n v="42.23"/>
    <n v="196"/>
    <n v="67.900000000000006"/>
    <n v="82.97"/>
    <x v="57"/>
    <x v="59"/>
    <m/>
    <m/>
  </r>
  <r>
    <x v="1"/>
    <x v="4"/>
    <x v="2"/>
    <n v="1902"/>
    <n v="2333.98"/>
    <n v="290"/>
    <n v="91.45"/>
    <n v="14.11"/>
    <s v="Good"/>
    <n v="785"/>
    <n v="42.97"/>
    <n v="95"/>
    <n v="61.02"/>
    <n v="87.65"/>
    <x v="58"/>
    <x v="60"/>
    <m/>
    <m/>
  </r>
  <r>
    <x v="5"/>
    <x v="5"/>
    <x v="11"/>
    <n v="1972"/>
    <n v="2144.4"/>
    <n v="328"/>
    <n v="424.99"/>
    <n v="24.73"/>
    <s v="Good"/>
    <n v="723"/>
    <n v="37.770000000000003"/>
    <n v="244"/>
    <n v="74.430000000000007"/>
    <n v="89.06"/>
    <x v="59"/>
    <x v="61"/>
    <m/>
    <m/>
  </r>
  <r>
    <x v="1"/>
    <x v="5"/>
    <x v="11"/>
    <n v="1289"/>
    <n v="1939.86"/>
    <n v="112"/>
    <n v="441.9"/>
    <n v="26.98"/>
    <s v="Average"/>
    <n v="912"/>
    <n v="7.27"/>
    <n v="25"/>
    <n v="73.58"/>
    <n v="86.13"/>
    <x v="60"/>
    <x v="62"/>
    <m/>
    <m/>
  </r>
  <r>
    <x v="7"/>
    <x v="1"/>
    <x v="4"/>
    <n v="1435"/>
    <n v="770.28"/>
    <n v="37"/>
    <n v="318.44"/>
    <n v="10.119999999999999"/>
    <s v="Below Average"/>
    <n v="370"/>
    <n v="39.44"/>
    <n v="87"/>
    <n v="61.51"/>
    <n v="88.75"/>
    <x v="61"/>
    <x v="63"/>
    <m/>
    <m/>
  </r>
  <r>
    <x v="6"/>
    <x v="4"/>
    <x v="6"/>
    <n v="1838"/>
    <n v="3238.79"/>
    <n v="356"/>
    <n v="338.4"/>
    <n v="28.41"/>
    <s v="Below Average"/>
    <n v="493"/>
    <n v="27.31"/>
    <n v="115"/>
    <n v="64.06"/>
    <n v="81.48"/>
    <x v="62"/>
    <x v="64"/>
    <m/>
    <m/>
  </r>
  <r>
    <x v="4"/>
    <x v="5"/>
    <x v="6"/>
    <n v="583"/>
    <n v="291.99"/>
    <n v="30"/>
    <n v="43.21"/>
    <n v="7.97"/>
    <s v="Average"/>
    <n v="62"/>
    <n v="47.85"/>
    <n v="396"/>
    <n v="55.68"/>
    <n v="93.64"/>
    <x v="63"/>
    <x v="65"/>
    <m/>
    <m/>
  </r>
  <r>
    <x v="0"/>
    <x v="2"/>
    <x v="5"/>
    <n v="674"/>
    <n v="645.21"/>
    <n v="143"/>
    <n v="28.08"/>
    <n v="27.34"/>
    <s v="Average"/>
    <n v="423"/>
    <n v="2.54"/>
    <n v="176"/>
    <n v="81.819999999999993"/>
    <n v="89.52"/>
    <x v="64"/>
    <x v="66"/>
    <m/>
    <m/>
  </r>
  <r>
    <x v="3"/>
    <x v="2"/>
    <x v="2"/>
    <n v="1961"/>
    <n v="1093.2"/>
    <n v="244"/>
    <n v="274.83999999999997"/>
    <n v="10.44"/>
    <s v="Average"/>
    <n v="209"/>
    <n v="17.3"/>
    <n v="359"/>
    <n v="88.63"/>
    <n v="96.88"/>
    <x v="65"/>
    <x v="67"/>
    <m/>
    <m/>
  </r>
  <r>
    <x v="1"/>
    <x v="2"/>
    <x v="2"/>
    <n v="1860"/>
    <n v="1250.7"/>
    <n v="320"/>
    <n v="341.37"/>
    <n v="19.559999999999999"/>
    <s v="Below Average"/>
    <n v="897"/>
    <n v="42.31"/>
    <n v="471"/>
    <n v="55.18"/>
    <n v="82.34"/>
    <x v="13"/>
    <x v="68"/>
    <m/>
    <m/>
  </r>
  <r>
    <x v="1"/>
    <x v="2"/>
    <x v="1"/>
    <n v="78"/>
    <n v="94.36"/>
    <n v="75"/>
    <n v="462.09"/>
    <n v="16.12"/>
    <s v="Below Average"/>
    <n v="969"/>
    <n v="9.8000000000000007"/>
    <n v="202"/>
    <n v="67.77"/>
    <n v="95.09"/>
    <x v="66"/>
    <x v="69"/>
    <m/>
    <m/>
  </r>
  <r>
    <x v="4"/>
    <x v="2"/>
    <x v="9"/>
    <n v="1281"/>
    <n v="1572.81"/>
    <n v="223"/>
    <n v="491.52"/>
    <n v="18.98"/>
    <s v="Excellent"/>
    <n v="28"/>
    <n v="38.83"/>
    <n v="355"/>
    <n v="65.41"/>
    <n v="89.4"/>
    <x v="67"/>
    <x v="70"/>
    <m/>
    <m/>
  </r>
  <r>
    <x v="6"/>
    <x v="2"/>
    <x v="10"/>
    <n v="612"/>
    <n v="1083.08"/>
    <n v="386"/>
    <n v="209.7"/>
    <n v="8.3000000000000007"/>
    <s v="Excellent"/>
    <n v="902"/>
    <n v="37.979999999999997"/>
    <n v="370"/>
    <n v="72.84"/>
    <n v="95.42"/>
    <x v="68"/>
    <x v="71"/>
    <m/>
    <m/>
  </r>
  <r>
    <x v="3"/>
    <x v="1"/>
    <x v="3"/>
    <n v="1729"/>
    <n v="2736.91"/>
    <n v="386"/>
    <n v="256.51"/>
    <n v="22.6"/>
    <s v="Average"/>
    <n v="392"/>
    <n v="17.54"/>
    <n v="303"/>
    <n v="78.05"/>
    <n v="89.29"/>
    <x v="69"/>
    <x v="72"/>
    <m/>
    <m/>
  </r>
  <r>
    <x v="7"/>
    <x v="4"/>
    <x v="6"/>
    <n v="715"/>
    <n v="1357.24"/>
    <n v="441"/>
    <n v="314.8"/>
    <n v="5.73"/>
    <s v="Excellent"/>
    <n v="693"/>
    <n v="36.54"/>
    <n v="326"/>
    <n v="88.09"/>
    <n v="91.79"/>
    <x v="70"/>
    <x v="73"/>
    <m/>
    <m/>
  </r>
  <r>
    <x v="1"/>
    <x v="1"/>
    <x v="10"/>
    <n v="562"/>
    <n v="803.1"/>
    <n v="210"/>
    <n v="301.94"/>
    <n v="27.2"/>
    <s v="Excellent"/>
    <n v="928"/>
    <n v="15.75"/>
    <n v="372"/>
    <n v="54.2"/>
    <n v="90.5"/>
    <x v="71"/>
    <x v="74"/>
    <m/>
    <m/>
  </r>
  <r>
    <x v="5"/>
    <x v="0"/>
    <x v="7"/>
    <n v="1890"/>
    <n v="2882.39"/>
    <n v="489"/>
    <n v="20.57"/>
    <n v="29.69"/>
    <s v="Good"/>
    <n v="407"/>
    <n v="41.34"/>
    <n v="225"/>
    <n v="89.19"/>
    <n v="81.14"/>
    <x v="72"/>
    <x v="75"/>
    <m/>
    <m/>
  </r>
  <r>
    <x v="6"/>
    <x v="4"/>
    <x v="7"/>
    <n v="1655"/>
    <n v="1966.65"/>
    <n v="125"/>
    <n v="119.55"/>
    <n v="12.68"/>
    <s v="Good"/>
    <n v="574"/>
    <n v="46.44"/>
    <n v="442"/>
    <n v="76.599999999999994"/>
    <n v="90.75"/>
    <x v="73"/>
    <x v="76"/>
    <m/>
    <m/>
  </r>
  <r>
    <x v="3"/>
    <x v="3"/>
    <x v="2"/>
    <n v="1150"/>
    <n v="1186.8"/>
    <n v="471"/>
    <n v="60.68"/>
    <n v="6.85"/>
    <s v="Average"/>
    <n v="689"/>
    <n v="22.07"/>
    <n v="392"/>
    <n v="96.23"/>
    <n v="88.4"/>
    <x v="74"/>
    <x v="77"/>
    <m/>
    <m/>
  </r>
  <r>
    <x v="5"/>
    <x v="0"/>
    <x v="7"/>
    <n v="321"/>
    <n v="637.58000000000004"/>
    <n v="353"/>
    <n v="202.17"/>
    <n v="16.98"/>
    <s v="Excellent"/>
    <n v="143"/>
    <n v="9.1"/>
    <n v="242"/>
    <n v="77.34"/>
    <n v="81.010000000000005"/>
    <x v="19"/>
    <x v="78"/>
    <m/>
    <m/>
  </r>
  <r>
    <x v="6"/>
    <x v="3"/>
    <x v="8"/>
    <n v="1039"/>
    <n v="1167.8699999999999"/>
    <n v="483"/>
    <n v="112"/>
    <n v="9.61"/>
    <s v="Average"/>
    <n v="78"/>
    <n v="44.38"/>
    <n v="52"/>
    <n v="75.209999999999994"/>
    <n v="83.02"/>
    <x v="75"/>
    <x v="77"/>
    <m/>
    <m/>
  </r>
  <r>
    <x v="1"/>
    <x v="3"/>
    <x v="11"/>
    <n v="859"/>
    <n v="534.82000000000005"/>
    <n v="74"/>
    <n v="239.66"/>
    <n v="12.53"/>
    <s v="Average"/>
    <n v="138"/>
    <n v="48.62"/>
    <n v="328"/>
    <n v="60.81"/>
    <n v="96.85"/>
    <x v="76"/>
    <x v="79"/>
    <m/>
    <m/>
  </r>
  <r>
    <x v="6"/>
    <x v="5"/>
    <x v="7"/>
    <n v="1488"/>
    <n v="1818.45"/>
    <n v="256"/>
    <n v="213.07"/>
    <n v="23.06"/>
    <s v="Good"/>
    <n v="936"/>
    <n v="41.21"/>
    <n v="270"/>
    <n v="89.67"/>
    <n v="94.9"/>
    <x v="75"/>
    <x v="80"/>
    <m/>
    <m/>
  </r>
  <r>
    <x v="5"/>
    <x v="2"/>
    <x v="10"/>
    <n v="1186"/>
    <n v="1081.8800000000001"/>
    <n v="205"/>
    <n v="89.58"/>
    <n v="6.08"/>
    <s v="Excellent"/>
    <n v="585"/>
    <n v="32.47"/>
    <n v="113"/>
    <n v="87.85"/>
    <n v="85.63"/>
    <x v="77"/>
    <x v="81"/>
    <m/>
    <m/>
  </r>
  <r>
    <x v="6"/>
    <x v="1"/>
    <x v="6"/>
    <n v="1965"/>
    <n v="1614.1"/>
    <n v="138"/>
    <n v="485.36"/>
    <n v="29.48"/>
    <s v="Good"/>
    <n v="562"/>
    <n v="3.34"/>
    <n v="451"/>
    <n v="54.4"/>
    <n v="90.16"/>
    <x v="5"/>
    <x v="82"/>
    <m/>
    <m/>
  </r>
  <r>
    <x v="2"/>
    <x v="4"/>
    <x v="10"/>
    <n v="1773"/>
    <n v="1497.23"/>
    <n v="259"/>
    <n v="325.11"/>
    <n v="25.39"/>
    <s v="Excellent"/>
    <n v="949"/>
    <n v="32.76"/>
    <n v="230"/>
    <n v="95.83"/>
    <n v="80.23"/>
    <x v="78"/>
    <x v="83"/>
    <m/>
    <m/>
  </r>
  <r>
    <x v="4"/>
    <x v="1"/>
    <x v="2"/>
    <n v="1462"/>
    <n v="1405.23"/>
    <n v="392"/>
    <n v="376.07"/>
    <n v="19.64"/>
    <s v="Excellent"/>
    <n v="921"/>
    <n v="41.87"/>
    <n v="239"/>
    <n v="55.29"/>
    <n v="84.21"/>
    <x v="79"/>
    <x v="84"/>
    <m/>
    <m/>
  </r>
  <r>
    <x v="7"/>
    <x v="1"/>
    <x v="7"/>
    <n v="1033"/>
    <n v="1173.57"/>
    <n v="217"/>
    <n v="316.49"/>
    <n v="25.85"/>
    <s v="Below Average"/>
    <n v="22"/>
    <n v="24.79"/>
    <n v="471"/>
    <n v="89.65"/>
    <n v="93.44"/>
    <x v="80"/>
    <x v="85"/>
    <m/>
    <m/>
  </r>
  <r>
    <x v="2"/>
    <x v="0"/>
    <x v="5"/>
    <n v="169"/>
    <n v="297.43"/>
    <n v="278"/>
    <n v="125.98"/>
    <n v="14.55"/>
    <s v="Good"/>
    <n v="389"/>
    <n v="30.78"/>
    <n v="295"/>
    <n v="95.71"/>
    <n v="95.56"/>
    <x v="81"/>
    <x v="86"/>
    <m/>
    <m/>
  </r>
  <r>
    <x v="7"/>
    <x v="0"/>
    <x v="11"/>
    <n v="1220"/>
    <n v="2202.3200000000002"/>
    <n v="183"/>
    <n v="305.89"/>
    <n v="13.24"/>
    <s v="Below Average"/>
    <n v="613"/>
    <n v="10.24"/>
    <n v="335"/>
    <n v="56.44"/>
    <n v="94.27"/>
    <x v="32"/>
    <x v="87"/>
    <m/>
    <m/>
  </r>
  <r>
    <x v="3"/>
    <x v="0"/>
    <x v="11"/>
    <n v="836"/>
    <n v="1655.61"/>
    <n v="109"/>
    <n v="26.95"/>
    <n v="16.23"/>
    <s v="Good"/>
    <n v="888"/>
    <n v="18.32"/>
    <n v="369"/>
    <n v="83.48"/>
    <n v="90.18"/>
    <x v="82"/>
    <x v="88"/>
    <m/>
    <m/>
  </r>
  <r>
    <x v="3"/>
    <x v="2"/>
    <x v="5"/>
    <n v="1678"/>
    <n v="942.54"/>
    <n v="213"/>
    <n v="10.39"/>
    <n v="7.18"/>
    <s v="Good"/>
    <n v="593"/>
    <n v="48.1"/>
    <n v="500"/>
    <n v="81.540000000000006"/>
    <n v="95.94"/>
    <x v="83"/>
    <x v="89"/>
    <m/>
    <m/>
  </r>
  <r>
    <x v="2"/>
    <x v="4"/>
    <x v="7"/>
    <n v="281"/>
    <n v="443.48"/>
    <n v="45"/>
    <n v="486.25"/>
    <n v="11.52"/>
    <s v="Average"/>
    <n v="692"/>
    <n v="37.450000000000003"/>
    <n v="430"/>
    <n v="52.45"/>
    <n v="97.41"/>
    <x v="84"/>
    <x v="90"/>
    <m/>
    <m/>
  </r>
  <r>
    <x v="1"/>
    <x v="3"/>
    <x v="2"/>
    <n v="495"/>
    <n v="421.27"/>
    <n v="197"/>
    <n v="488.08"/>
    <n v="8.93"/>
    <s v="Average"/>
    <n v="87"/>
    <n v="21.92"/>
    <n v="396"/>
    <n v="96.46"/>
    <n v="93.11"/>
    <x v="85"/>
    <x v="91"/>
    <m/>
    <m/>
  </r>
  <r>
    <x v="4"/>
    <x v="4"/>
    <x v="8"/>
    <n v="570"/>
    <n v="1102.3900000000001"/>
    <n v="499"/>
    <n v="334.33"/>
    <n v="10.64"/>
    <s v="Average"/>
    <n v="532"/>
    <n v="25.28"/>
    <n v="474"/>
    <n v="77.03"/>
    <n v="94.3"/>
    <x v="86"/>
    <x v="92"/>
    <m/>
    <m/>
  </r>
  <r>
    <x v="3"/>
    <x v="5"/>
    <x v="2"/>
    <n v="1107"/>
    <n v="816.66"/>
    <n v="35"/>
    <n v="347.83"/>
    <n v="15.29"/>
    <s v="Average"/>
    <n v="776"/>
    <n v="36.81"/>
    <n v="165"/>
    <n v="94.86"/>
    <n v="97.3"/>
    <x v="34"/>
    <x v="93"/>
    <m/>
    <m/>
  </r>
  <r>
    <x v="7"/>
    <x v="2"/>
    <x v="7"/>
    <n v="213"/>
    <n v="403.62"/>
    <n v="472"/>
    <n v="96.14"/>
    <n v="11.87"/>
    <s v="Average"/>
    <n v="427"/>
    <n v="10.48"/>
    <n v="226"/>
    <n v="87.9"/>
    <n v="90.53"/>
    <x v="87"/>
    <x v="94"/>
    <m/>
    <m/>
  </r>
  <r>
    <x v="4"/>
    <x v="4"/>
    <x v="5"/>
    <n v="498"/>
    <n v="899.29"/>
    <n v="86"/>
    <n v="80.5"/>
    <n v="16.46"/>
    <s v="Good"/>
    <n v="645"/>
    <n v="35.18"/>
    <n v="225"/>
    <n v="92.72"/>
    <n v="92.28"/>
    <x v="88"/>
    <x v="95"/>
    <m/>
    <m/>
  </r>
  <r>
    <x v="6"/>
    <x v="3"/>
    <x v="4"/>
    <n v="375"/>
    <n v="496.66"/>
    <n v="279"/>
    <n v="18.63"/>
    <n v="28.54"/>
    <s v="Below Average"/>
    <n v="684"/>
    <n v="5.79"/>
    <n v="78"/>
    <n v="88.02"/>
    <n v="95.95"/>
    <x v="89"/>
    <x v="96"/>
    <m/>
    <m/>
  </r>
  <r>
    <x v="7"/>
    <x v="3"/>
    <x v="0"/>
    <n v="501"/>
    <n v="769.32"/>
    <n v="125"/>
    <n v="56.04"/>
    <n v="27.89"/>
    <s v="Below Average"/>
    <n v="687"/>
    <n v="49.04"/>
    <n v="210"/>
    <n v="67.489999999999995"/>
    <n v="80.31"/>
    <x v="90"/>
    <x v="97"/>
    <m/>
    <m/>
  </r>
  <r>
    <x v="3"/>
    <x v="4"/>
    <x v="4"/>
    <n v="1337"/>
    <n v="673.5"/>
    <n v="440"/>
    <n v="259.52999999999997"/>
    <n v="9.2200000000000006"/>
    <s v="Excellent"/>
    <n v="38"/>
    <n v="24.53"/>
    <n v="155"/>
    <n v="85.96"/>
    <n v="92.78"/>
    <x v="91"/>
    <x v="98"/>
    <m/>
    <m/>
  </r>
  <r>
    <x v="4"/>
    <x v="1"/>
    <x v="5"/>
    <n v="249"/>
    <n v="342.72"/>
    <n v="195"/>
    <n v="153.19999999999999"/>
    <n v="26.87"/>
    <s v="Below Average"/>
    <n v="905"/>
    <n v="4.49"/>
    <n v="380"/>
    <n v="93.34"/>
    <n v="85.5"/>
    <x v="92"/>
    <x v="99"/>
    <m/>
    <m/>
  </r>
  <r>
    <x v="5"/>
    <x v="0"/>
    <x v="3"/>
    <n v="1522"/>
    <n v="2960.05"/>
    <n v="258"/>
    <n v="460.97"/>
    <n v="24.7"/>
    <s v="Below Average"/>
    <n v="895"/>
    <n v="38.4"/>
    <n v="431"/>
    <n v="61.36"/>
    <n v="88.61"/>
    <x v="93"/>
    <x v="100"/>
    <m/>
    <m/>
  </r>
  <r>
    <x v="0"/>
    <x v="1"/>
    <x v="6"/>
    <n v="492"/>
    <n v="779.4"/>
    <n v="466"/>
    <n v="447.77"/>
    <n v="19.989999999999998"/>
    <s v="Average"/>
    <n v="418"/>
    <n v="32.549999999999997"/>
    <n v="68"/>
    <n v="64.94"/>
    <n v="93.38"/>
    <x v="94"/>
    <x v="101"/>
    <m/>
    <m/>
  </r>
  <r>
    <x v="5"/>
    <x v="1"/>
    <x v="1"/>
    <n v="1985"/>
    <n v="2859.78"/>
    <n v="302"/>
    <n v="64.3"/>
    <n v="18.7"/>
    <s v="Excellent"/>
    <n v="384"/>
    <n v="22.97"/>
    <n v="108"/>
    <n v="99.05"/>
    <n v="98.69"/>
    <x v="95"/>
    <x v="102"/>
    <m/>
    <m/>
  </r>
  <r>
    <x v="1"/>
    <x v="2"/>
    <x v="10"/>
    <n v="475"/>
    <n v="867.25"/>
    <n v="493"/>
    <n v="41.33"/>
    <n v="10.7"/>
    <s v="Excellent"/>
    <n v="995"/>
    <n v="26.08"/>
    <n v="365"/>
    <n v="82.84"/>
    <n v="92.99"/>
    <x v="96"/>
    <x v="103"/>
    <m/>
    <m/>
  </r>
  <r>
    <x v="0"/>
    <x v="3"/>
    <x v="11"/>
    <n v="1561"/>
    <n v="1080.47"/>
    <n v="445"/>
    <n v="340.92"/>
    <n v="25.8"/>
    <s v="Good"/>
    <n v="455"/>
    <n v="46.56"/>
    <n v="158"/>
    <n v="69.92"/>
    <n v="98.46"/>
    <x v="97"/>
    <x v="13"/>
    <m/>
    <m/>
  </r>
  <r>
    <x v="1"/>
    <x v="3"/>
    <x v="7"/>
    <n v="59"/>
    <n v="40.29"/>
    <n v="425"/>
    <n v="451.91"/>
    <n v="13.42"/>
    <s v="Excellent"/>
    <n v="205"/>
    <n v="39.29"/>
    <n v="182"/>
    <n v="61.1"/>
    <n v="95.63"/>
    <x v="98"/>
    <x v="104"/>
    <m/>
    <m/>
  </r>
  <r>
    <x v="7"/>
    <x v="4"/>
    <x v="9"/>
    <n v="776"/>
    <n v="738.51"/>
    <n v="111"/>
    <n v="84.94"/>
    <n v="14.23"/>
    <s v="Below Average"/>
    <n v="495"/>
    <n v="46.45"/>
    <n v="193"/>
    <n v="81.28"/>
    <n v="98.94"/>
    <x v="99"/>
    <x v="105"/>
    <m/>
    <m/>
  </r>
  <r>
    <x v="0"/>
    <x v="0"/>
    <x v="5"/>
    <n v="950"/>
    <n v="504.22"/>
    <n v="92"/>
    <n v="153.71"/>
    <n v="18.25"/>
    <s v="Excellent"/>
    <n v="595"/>
    <n v="2.2000000000000002"/>
    <n v="18"/>
    <n v="59.6"/>
    <n v="93.39"/>
    <x v="100"/>
    <x v="106"/>
    <m/>
    <m/>
  </r>
  <r>
    <x v="3"/>
    <x v="3"/>
    <x v="4"/>
    <n v="983"/>
    <n v="558.33000000000004"/>
    <n v="147"/>
    <n v="89.07"/>
    <n v="10.57"/>
    <s v="Below Average"/>
    <n v="748"/>
    <n v="10.25"/>
    <n v="451"/>
    <n v="85.23"/>
    <n v="96.41"/>
    <x v="56"/>
    <x v="107"/>
    <m/>
    <m/>
  </r>
  <r>
    <x v="0"/>
    <x v="5"/>
    <x v="11"/>
    <n v="1935"/>
    <n v="3017.71"/>
    <n v="228"/>
    <n v="486.69"/>
    <n v="18.829999999999998"/>
    <s v="Good"/>
    <n v="999"/>
    <n v="30.73"/>
    <n v="471"/>
    <n v="73.62"/>
    <n v="93.95"/>
    <x v="101"/>
    <x v="108"/>
    <m/>
    <m/>
  </r>
  <r>
    <x v="1"/>
    <x v="5"/>
    <x v="0"/>
    <n v="1983"/>
    <n v="1065.32"/>
    <n v="472"/>
    <n v="276.37"/>
    <n v="13.79"/>
    <s v="Excellent"/>
    <n v="503"/>
    <n v="5.16"/>
    <n v="217"/>
    <n v="93.91"/>
    <n v="87.38"/>
    <x v="102"/>
    <x v="109"/>
    <m/>
    <m/>
  </r>
  <r>
    <x v="2"/>
    <x v="4"/>
    <x v="11"/>
    <n v="1956"/>
    <n v="3053.02"/>
    <n v="360"/>
    <n v="181.94"/>
    <n v="5.68"/>
    <s v="Good"/>
    <n v="463"/>
    <n v="27.11"/>
    <n v="221"/>
    <n v="92.59"/>
    <n v="86.93"/>
    <x v="103"/>
    <x v="110"/>
    <m/>
    <m/>
  </r>
  <r>
    <x v="0"/>
    <x v="0"/>
    <x v="4"/>
    <n v="250"/>
    <n v="373.31"/>
    <n v="339"/>
    <n v="269.64999999999998"/>
    <n v="20.97"/>
    <s v="Below Average"/>
    <n v="380"/>
    <n v="11.38"/>
    <n v="292"/>
    <n v="55.61"/>
    <n v="89.53"/>
    <x v="104"/>
    <x v="111"/>
    <m/>
    <m/>
  </r>
  <r>
    <x v="6"/>
    <x v="0"/>
    <x v="7"/>
    <n v="1029"/>
    <n v="1606.2"/>
    <n v="441"/>
    <n v="352.65"/>
    <n v="29.65"/>
    <s v="Good"/>
    <n v="264"/>
    <n v="34.71"/>
    <n v="129"/>
    <n v="53.47"/>
    <n v="88.82"/>
    <x v="101"/>
    <x v="65"/>
    <m/>
    <m/>
  </r>
  <r>
    <x v="3"/>
    <x v="2"/>
    <x v="5"/>
    <n v="1616"/>
    <n v="2721.77"/>
    <n v="277"/>
    <n v="436.17"/>
    <n v="29.25"/>
    <s v="Below Average"/>
    <n v="144"/>
    <n v="39.67"/>
    <n v="278"/>
    <n v="99.6"/>
    <n v="83.27"/>
    <x v="105"/>
    <x v="112"/>
    <m/>
    <m/>
  </r>
  <r>
    <x v="4"/>
    <x v="3"/>
    <x v="2"/>
    <n v="119"/>
    <n v="214.85"/>
    <n v="236"/>
    <n v="64.59"/>
    <n v="6.87"/>
    <s v="Below Average"/>
    <n v="482"/>
    <n v="49.28"/>
    <n v="369"/>
    <n v="77.97"/>
    <n v="94.7"/>
    <x v="86"/>
    <x v="113"/>
    <m/>
    <m/>
  </r>
  <r>
    <x v="5"/>
    <x v="5"/>
    <x v="0"/>
    <n v="1408"/>
    <n v="1257.96"/>
    <n v="24"/>
    <n v="95.39"/>
    <n v="12.81"/>
    <s v="Excellent"/>
    <n v="372"/>
    <n v="10.51"/>
    <n v="176"/>
    <n v="54.71"/>
    <n v="92.36"/>
    <x v="106"/>
    <x v="114"/>
    <m/>
    <m/>
  </r>
  <r>
    <x v="0"/>
    <x v="4"/>
    <x v="3"/>
    <n v="145"/>
    <n v="132.94999999999999"/>
    <n v="449"/>
    <n v="86.7"/>
    <n v="9.39"/>
    <s v="Good"/>
    <n v="156"/>
    <n v="8.44"/>
    <n v="132"/>
    <n v="81.489999999999995"/>
    <n v="82"/>
    <x v="107"/>
    <x v="42"/>
    <m/>
    <m/>
  </r>
  <r>
    <x v="4"/>
    <x v="2"/>
    <x v="3"/>
    <n v="1593"/>
    <n v="912.04"/>
    <n v="170"/>
    <n v="379.61"/>
    <n v="16.48"/>
    <s v="Excellent"/>
    <n v="656"/>
    <n v="16.489999999999998"/>
    <n v="305"/>
    <n v="89.86"/>
    <n v="98.25"/>
    <x v="33"/>
    <x v="115"/>
    <m/>
    <m/>
  </r>
  <r>
    <x v="2"/>
    <x v="3"/>
    <x v="7"/>
    <n v="492"/>
    <n v="558.9"/>
    <n v="84"/>
    <n v="432.44"/>
    <n v="18.78"/>
    <s v="Average"/>
    <n v="242"/>
    <n v="2.27"/>
    <n v="181"/>
    <n v="79.84"/>
    <n v="83.81"/>
    <x v="83"/>
    <x v="65"/>
    <m/>
    <m/>
  </r>
  <r>
    <x v="4"/>
    <x v="0"/>
    <x v="1"/>
    <n v="1109"/>
    <n v="1302.32"/>
    <n v="55"/>
    <n v="276.92"/>
    <n v="11.77"/>
    <s v="Excellent"/>
    <n v="418"/>
    <n v="44.72"/>
    <n v="332"/>
    <n v="87.75"/>
    <n v="83.55"/>
    <x v="108"/>
    <x v="116"/>
    <m/>
    <m/>
  </r>
  <r>
    <x v="5"/>
    <x v="1"/>
    <x v="9"/>
    <n v="998"/>
    <n v="534.78"/>
    <n v="75"/>
    <n v="486.91"/>
    <n v="26.45"/>
    <s v="Below Average"/>
    <n v="79"/>
    <n v="38.5"/>
    <n v="374"/>
    <n v="68.2"/>
    <n v="86.99"/>
    <x v="109"/>
    <x v="117"/>
    <m/>
    <m/>
  </r>
  <r>
    <x v="2"/>
    <x v="3"/>
    <x v="4"/>
    <n v="700"/>
    <n v="879.19"/>
    <n v="102"/>
    <n v="433.65"/>
    <n v="19.350000000000001"/>
    <s v="Below Average"/>
    <n v="31"/>
    <n v="14.85"/>
    <n v="77"/>
    <n v="83.24"/>
    <n v="93.62"/>
    <x v="110"/>
    <x v="118"/>
    <m/>
    <m/>
  </r>
  <r>
    <x v="5"/>
    <x v="1"/>
    <x v="9"/>
    <n v="291"/>
    <n v="290.89"/>
    <n v="449"/>
    <n v="41.9"/>
    <n v="14.73"/>
    <s v="Average"/>
    <n v="413"/>
    <n v="5.75"/>
    <n v="429"/>
    <n v="95.78"/>
    <n v="98.4"/>
    <x v="111"/>
    <x v="119"/>
    <m/>
    <m/>
  </r>
  <r>
    <x v="6"/>
    <x v="0"/>
    <x v="9"/>
    <n v="690"/>
    <n v="1083"/>
    <n v="30"/>
    <n v="142.77000000000001"/>
    <n v="6.11"/>
    <s v="Below Average"/>
    <n v="749"/>
    <n v="26.8"/>
    <n v="376"/>
    <n v="54.43"/>
    <n v="85.87"/>
    <x v="112"/>
    <x v="120"/>
    <m/>
    <m/>
  </r>
  <r>
    <x v="1"/>
    <x v="0"/>
    <x v="8"/>
    <n v="1204"/>
    <n v="2092.7800000000002"/>
    <n v="18"/>
    <n v="335.14"/>
    <n v="29.92"/>
    <s v="Below Average"/>
    <n v="70"/>
    <n v="12.64"/>
    <n v="447"/>
    <n v="63.36"/>
    <n v="93.47"/>
    <x v="113"/>
    <x v="121"/>
    <m/>
    <m/>
  </r>
  <r>
    <x v="7"/>
    <x v="1"/>
    <x v="0"/>
    <n v="1052"/>
    <n v="1124.43"/>
    <n v="227"/>
    <n v="285.33"/>
    <n v="19.88"/>
    <s v="Excellent"/>
    <n v="886"/>
    <n v="34.729999999999997"/>
    <n v="345"/>
    <n v="94.14"/>
    <n v="82.48"/>
    <x v="114"/>
    <x v="5"/>
    <m/>
    <m/>
  </r>
  <r>
    <x v="4"/>
    <x v="3"/>
    <x v="10"/>
    <n v="1643"/>
    <n v="1447.25"/>
    <n v="300"/>
    <n v="105.95"/>
    <n v="9.4"/>
    <s v="Average"/>
    <n v="132"/>
    <n v="12.99"/>
    <n v="249"/>
    <n v="86.2"/>
    <n v="98.69"/>
    <x v="115"/>
    <x v="122"/>
    <m/>
    <m/>
  </r>
  <r>
    <x v="4"/>
    <x v="1"/>
    <x v="6"/>
    <n v="1930"/>
    <n v="1645.17"/>
    <n v="271"/>
    <n v="53.98"/>
    <n v="12.79"/>
    <s v="Average"/>
    <n v="447"/>
    <n v="45.33"/>
    <n v="333"/>
    <n v="93.39"/>
    <n v="93.74"/>
    <x v="116"/>
    <x v="123"/>
    <m/>
    <m/>
  </r>
  <r>
    <x v="0"/>
    <x v="0"/>
    <x v="10"/>
    <n v="948"/>
    <n v="992.11"/>
    <n v="14"/>
    <n v="260.69"/>
    <n v="6.4"/>
    <s v="Average"/>
    <n v="280"/>
    <n v="36.229999999999997"/>
    <n v="427"/>
    <n v="65.48"/>
    <n v="84.24"/>
    <x v="8"/>
    <x v="69"/>
    <m/>
    <m/>
  </r>
  <r>
    <x v="0"/>
    <x v="4"/>
    <x v="8"/>
    <n v="1648"/>
    <n v="1428.26"/>
    <n v="17"/>
    <n v="91.18"/>
    <n v="22.73"/>
    <s v="Below Average"/>
    <n v="378"/>
    <n v="5.73"/>
    <n v="221"/>
    <n v="53.76"/>
    <n v="96.55"/>
    <x v="5"/>
    <x v="124"/>
    <m/>
    <m/>
  </r>
  <r>
    <x v="1"/>
    <x v="1"/>
    <x v="9"/>
    <n v="1051"/>
    <n v="1228.5"/>
    <n v="376"/>
    <n v="91.71"/>
    <n v="6.78"/>
    <s v="Excellent"/>
    <n v="160"/>
    <n v="44.01"/>
    <n v="473"/>
    <n v="52.57"/>
    <n v="88.66"/>
    <x v="84"/>
    <x v="125"/>
    <m/>
    <m/>
  </r>
  <r>
    <x v="5"/>
    <x v="4"/>
    <x v="10"/>
    <n v="1073"/>
    <n v="1818.47"/>
    <n v="427"/>
    <n v="194.94"/>
    <n v="23.03"/>
    <s v="Average"/>
    <n v="961"/>
    <n v="38.409999999999997"/>
    <n v="420"/>
    <n v="55.45"/>
    <n v="87.54"/>
    <x v="117"/>
    <x v="16"/>
    <m/>
    <m/>
  </r>
  <r>
    <x v="6"/>
    <x v="0"/>
    <x v="7"/>
    <n v="122"/>
    <n v="64.73"/>
    <n v="477"/>
    <n v="436.52"/>
    <n v="28.96"/>
    <s v="Good"/>
    <n v="547"/>
    <n v="9.0299999999999994"/>
    <n v="51"/>
    <n v="88.01"/>
    <n v="96.98"/>
    <x v="118"/>
    <x v="126"/>
    <m/>
    <m/>
  </r>
  <r>
    <x v="4"/>
    <x v="1"/>
    <x v="7"/>
    <n v="972"/>
    <n v="1695.46"/>
    <n v="30"/>
    <n v="433.5"/>
    <n v="15.32"/>
    <s v="Excellent"/>
    <n v="1000"/>
    <n v="29.72"/>
    <n v="332"/>
    <n v="94.52"/>
    <n v="85"/>
    <x v="119"/>
    <x v="127"/>
    <m/>
    <m/>
  </r>
  <r>
    <x v="4"/>
    <x v="2"/>
    <x v="8"/>
    <n v="1294"/>
    <n v="1484.24"/>
    <n v="383"/>
    <n v="466.63"/>
    <n v="10.199999999999999"/>
    <s v="Average"/>
    <n v="145"/>
    <n v="41.88"/>
    <n v="301"/>
    <n v="50.57"/>
    <n v="82.62"/>
    <x v="120"/>
    <x v="128"/>
    <m/>
    <m/>
  </r>
  <r>
    <x v="3"/>
    <x v="4"/>
    <x v="6"/>
    <n v="1679"/>
    <n v="3123.58"/>
    <n v="425"/>
    <n v="423.5"/>
    <n v="9.93"/>
    <s v="Average"/>
    <n v="865"/>
    <n v="44.53"/>
    <n v="233"/>
    <n v="66.58"/>
    <n v="90.54"/>
    <x v="95"/>
    <x v="129"/>
    <m/>
    <m/>
  </r>
  <r>
    <x v="0"/>
    <x v="0"/>
    <x v="5"/>
    <n v="193"/>
    <n v="120.86"/>
    <n v="271"/>
    <n v="285.58999999999997"/>
    <n v="21.74"/>
    <s v="Good"/>
    <n v="908"/>
    <n v="45.01"/>
    <n v="163"/>
    <n v="98.91"/>
    <n v="92.45"/>
    <x v="121"/>
    <x v="130"/>
    <m/>
    <m/>
  </r>
  <r>
    <x v="7"/>
    <x v="1"/>
    <x v="10"/>
    <n v="1561"/>
    <n v="2624.95"/>
    <n v="365"/>
    <n v="63.91"/>
    <n v="13.95"/>
    <s v="Below Average"/>
    <n v="933"/>
    <n v="48.04"/>
    <n v="402"/>
    <n v="77.040000000000006"/>
    <n v="82.86"/>
    <x v="122"/>
    <x v="131"/>
    <m/>
    <m/>
  </r>
  <r>
    <x v="4"/>
    <x v="0"/>
    <x v="11"/>
    <n v="1752"/>
    <n v="2380.21"/>
    <n v="337"/>
    <n v="48.3"/>
    <n v="26.42"/>
    <s v="Good"/>
    <n v="518"/>
    <n v="7.79"/>
    <n v="120"/>
    <n v="79.569999999999993"/>
    <n v="80.42"/>
    <x v="123"/>
    <x v="132"/>
    <m/>
    <m/>
  </r>
  <r>
    <x v="3"/>
    <x v="2"/>
    <x v="10"/>
    <n v="1094"/>
    <n v="922.86"/>
    <n v="346"/>
    <n v="289.2"/>
    <n v="5.69"/>
    <s v="Excellent"/>
    <n v="390"/>
    <n v="35.69"/>
    <n v="297"/>
    <n v="89.6"/>
    <n v="85.64"/>
    <x v="124"/>
    <x v="133"/>
    <m/>
    <m/>
  </r>
  <r>
    <x v="7"/>
    <x v="5"/>
    <x v="0"/>
    <n v="1509"/>
    <n v="1255.68"/>
    <n v="135"/>
    <n v="292.98"/>
    <n v="26.66"/>
    <s v="Below Average"/>
    <n v="77"/>
    <n v="2.4500000000000002"/>
    <n v="79"/>
    <n v="74.92"/>
    <n v="81.69"/>
    <x v="125"/>
    <x v="134"/>
    <m/>
    <m/>
  </r>
  <r>
    <x v="0"/>
    <x v="0"/>
    <x v="9"/>
    <n v="1439"/>
    <n v="2254.5"/>
    <n v="165"/>
    <n v="339.4"/>
    <n v="23.68"/>
    <s v="Good"/>
    <n v="301"/>
    <n v="26.66"/>
    <n v="444"/>
    <n v="77.7"/>
    <n v="98.12"/>
    <x v="56"/>
    <x v="135"/>
    <m/>
    <m/>
  </r>
  <r>
    <x v="0"/>
    <x v="1"/>
    <x v="7"/>
    <n v="715"/>
    <n v="1230.04"/>
    <n v="156"/>
    <n v="69.53"/>
    <n v="12.37"/>
    <s v="Excellent"/>
    <n v="65"/>
    <n v="25.94"/>
    <n v="391"/>
    <n v="75.150000000000006"/>
    <n v="94.05"/>
    <x v="126"/>
    <x v="136"/>
    <m/>
    <m/>
  </r>
  <r>
    <x v="7"/>
    <x v="4"/>
    <x v="9"/>
    <n v="838"/>
    <n v="1290.75"/>
    <n v="31"/>
    <n v="441.78"/>
    <n v="21.07"/>
    <s v="Excellent"/>
    <n v="574"/>
    <n v="43.32"/>
    <n v="254"/>
    <n v="70.36"/>
    <n v="83.82"/>
    <x v="127"/>
    <x v="137"/>
    <m/>
    <m/>
  </r>
  <r>
    <x v="5"/>
    <x v="2"/>
    <x v="6"/>
    <n v="779"/>
    <n v="1186.3599999999999"/>
    <n v="150"/>
    <n v="311.12"/>
    <n v="11.78"/>
    <s v="Below Average"/>
    <n v="725"/>
    <n v="23.99"/>
    <n v="424"/>
    <n v="59.73"/>
    <n v="95.37"/>
    <x v="128"/>
    <x v="138"/>
    <m/>
    <m/>
  </r>
  <r>
    <x v="0"/>
    <x v="2"/>
    <x v="2"/>
    <n v="822"/>
    <n v="479.22"/>
    <n v="395"/>
    <n v="385.2"/>
    <n v="7.44"/>
    <s v="Below Average"/>
    <n v="203"/>
    <n v="2.71"/>
    <n v="195"/>
    <n v="99.62"/>
    <n v="93.69"/>
    <x v="129"/>
    <x v="139"/>
    <m/>
    <m/>
  </r>
  <r>
    <x v="2"/>
    <x v="0"/>
    <x v="3"/>
    <n v="1490"/>
    <n v="2683.92"/>
    <n v="460"/>
    <n v="32.53"/>
    <n v="20.3"/>
    <s v="Excellent"/>
    <n v="104"/>
    <n v="23.73"/>
    <n v="321"/>
    <n v="95.02"/>
    <n v="80.599999999999994"/>
    <x v="130"/>
    <x v="140"/>
    <m/>
    <m/>
  </r>
  <r>
    <x v="1"/>
    <x v="4"/>
    <x v="3"/>
    <n v="288"/>
    <n v="179.58"/>
    <n v="70"/>
    <n v="132.44999999999999"/>
    <n v="22.28"/>
    <s v="Average"/>
    <n v="760"/>
    <n v="33.659999999999997"/>
    <n v="266"/>
    <n v="93.8"/>
    <n v="93.75"/>
    <x v="28"/>
    <x v="23"/>
    <m/>
    <m/>
  </r>
  <r>
    <x v="5"/>
    <x v="3"/>
    <x v="1"/>
    <n v="620"/>
    <n v="762.34"/>
    <n v="349"/>
    <n v="54.88"/>
    <n v="21.84"/>
    <s v="Below Average"/>
    <n v="365"/>
    <n v="31.89"/>
    <n v="456"/>
    <n v="89.16"/>
    <n v="84.78"/>
    <x v="131"/>
    <x v="141"/>
    <m/>
    <m/>
  </r>
  <r>
    <x v="0"/>
    <x v="3"/>
    <x v="9"/>
    <n v="1403"/>
    <n v="1732.57"/>
    <n v="274"/>
    <n v="277.7"/>
    <n v="21.17"/>
    <s v="Below Average"/>
    <n v="508"/>
    <n v="19.850000000000001"/>
    <n v="382"/>
    <n v="79.44"/>
    <n v="90.36"/>
    <x v="12"/>
    <x v="142"/>
    <m/>
    <m/>
  </r>
  <r>
    <x v="2"/>
    <x v="3"/>
    <x v="8"/>
    <n v="1650"/>
    <n v="3076.01"/>
    <n v="350"/>
    <n v="288.31"/>
    <n v="18"/>
    <s v="Average"/>
    <n v="918"/>
    <n v="36.96"/>
    <n v="217"/>
    <n v="75.91"/>
    <n v="89.44"/>
    <x v="117"/>
    <x v="143"/>
    <m/>
    <m/>
  </r>
  <r>
    <x v="1"/>
    <x v="0"/>
    <x v="4"/>
    <n v="326"/>
    <n v="314.97000000000003"/>
    <n v="422"/>
    <n v="194.47"/>
    <n v="19.18"/>
    <s v="Average"/>
    <n v="308"/>
    <n v="11.62"/>
    <n v="317"/>
    <n v="84.8"/>
    <n v="92.16"/>
    <x v="132"/>
    <x v="144"/>
    <m/>
    <m/>
  </r>
  <r>
    <x v="1"/>
    <x v="4"/>
    <x v="4"/>
    <n v="708"/>
    <n v="558.77"/>
    <n v="335"/>
    <n v="73.7"/>
    <n v="26.63"/>
    <s v="Average"/>
    <n v="235"/>
    <n v="36.770000000000003"/>
    <n v="284"/>
    <n v="98.24"/>
    <n v="92.31"/>
    <x v="133"/>
    <x v="145"/>
    <m/>
    <m/>
  </r>
  <r>
    <x v="3"/>
    <x v="5"/>
    <x v="7"/>
    <n v="702"/>
    <n v="668.05"/>
    <n v="307"/>
    <n v="56.07"/>
    <n v="19.84"/>
    <s v="Below Average"/>
    <n v="601"/>
    <n v="20.95"/>
    <n v="208"/>
    <n v="58.42"/>
    <n v="81.819999999999993"/>
    <x v="131"/>
    <x v="146"/>
    <m/>
    <m/>
  </r>
  <r>
    <x v="4"/>
    <x v="3"/>
    <x v="7"/>
    <n v="1594"/>
    <n v="2579.35"/>
    <n v="318"/>
    <n v="127.4"/>
    <n v="24.77"/>
    <s v="Excellent"/>
    <n v="632"/>
    <n v="16.97"/>
    <n v="349"/>
    <n v="95.02"/>
    <n v="95.12"/>
    <x v="134"/>
    <x v="147"/>
    <m/>
    <m/>
  </r>
  <r>
    <x v="5"/>
    <x v="5"/>
    <x v="6"/>
    <n v="713"/>
    <n v="1341.09"/>
    <n v="191"/>
    <n v="477.7"/>
    <n v="8.31"/>
    <s v="Good"/>
    <n v="69"/>
    <n v="5.87"/>
    <n v="159"/>
    <n v="96.46"/>
    <n v="81.709999999999994"/>
    <x v="135"/>
    <x v="148"/>
    <m/>
    <m/>
  </r>
  <r>
    <x v="2"/>
    <x v="1"/>
    <x v="7"/>
    <n v="1573"/>
    <n v="2569.34"/>
    <n v="395"/>
    <n v="84.4"/>
    <n v="18.37"/>
    <s v="Average"/>
    <n v="659"/>
    <n v="3.84"/>
    <n v="223"/>
    <n v="85.41"/>
    <n v="83.02"/>
    <x v="136"/>
    <x v="149"/>
    <m/>
    <m/>
  </r>
  <r>
    <x v="7"/>
    <x v="5"/>
    <x v="4"/>
    <n v="1435"/>
    <n v="1976.37"/>
    <n v="348"/>
    <n v="397.83"/>
    <n v="22.96"/>
    <s v="Good"/>
    <n v="560"/>
    <n v="24.48"/>
    <n v="255"/>
    <n v="64.44"/>
    <n v="93.31"/>
    <x v="137"/>
    <x v="150"/>
    <m/>
    <m/>
  </r>
  <r>
    <x v="1"/>
    <x v="1"/>
    <x v="7"/>
    <n v="224"/>
    <n v="307.98"/>
    <n v="191"/>
    <n v="10.75"/>
    <n v="6.07"/>
    <s v="Average"/>
    <n v="443"/>
    <n v="20.93"/>
    <n v="178"/>
    <n v="55.64"/>
    <n v="85.27"/>
    <x v="98"/>
    <x v="151"/>
    <m/>
    <m/>
  </r>
  <r>
    <x v="3"/>
    <x v="2"/>
    <x v="1"/>
    <n v="556"/>
    <n v="1108.81"/>
    <n v="140"/>
    <n v="203.65"/>
    <n v="24.19"/>
    <s v="Average"/>
    <n v="766"/>
    <n v="4.1100000000000003"/>
    <n v="326"/>
    <n v="76.459999999999994"/>
    <n v="89.58"/>
    <x v="63"/>
    <x v="152"/>
    <m/>
    <m/>
  </r>
  <r>
    <x v="4"/>
    <x v="2"/>
    <x v="10"/>
    <n v="1165"/>
    <n v="793.23"/>
    <n v="260"/>
    <n v="20.34"/>
    <n v="13.32"/>
    <s v="Good"/>
    <n v="491"/>
    <n v="20.02"/>
    <n v="429"/>
    <n v="66.75"/>
    <n v="82.18"/>
    <x v="138"/>
    <x v="153"/>
    <m/>
    <m/>
  </r>
  <r>
    <x v="6"/>
    <x v="0"/>
    <x v="7"/>
    <n v="804"/>
    <n v="1549.87"/>
    <n v="406"/>
    <n v="291.77"/>
    <n v="29.5"/>
    <s v="Below Average"/>
    <n v="286"/>
    <n v="38.36"/>
    <n v="314"/>
    <n v="97.74"/>
    <n v="97.06"/>
    <x v="139"/>
    <x v="154"/>
    <m/>
    <m/>
  </r>
  <r>
    <x v="1"/>
    <x v="1"/>
    <x v="0"/>
    <n v="855"/>
    <n v="1251.73"/>
    <n v="488"/>
    <n v="436.33"/>
    <n v="15.03"/>
    <s v="Good"/>
    <n v="800"/>
    <n v="13.1"/>
    <n v="475"/>
    <n v="69"/>
    <n v="85.25"/>
    <x v="140"/>
    <x v="155"/>
    <m/>
    <m/>
  </r>
  <r>
    <x v="1"/>
    <x v="5"/>
    <x v="2"/>
    <n v="555"/>
    <n v="593.53"/>
    <n v="391"/>
    <n v="181"/>
    <n v="28.54"/>
    <s v="Good"/>
    <n v="80"/>
    <n v="38.869999999999997"/>
    <n v="15"/>
    <n v="82.77"/>
    <n v="89.08"/>
    <x v="112"/>
    <x v="156"/>
    <m/>
    <m/>
  </r>
  <r>
    <x v="4"/>
    <x v="2"/>
    <x v="0"/>
    <n v="1243"/>
    <n v="2326.13"/>
    <n v="123"/>
    <n v="123.09"/>
    <n v="21.51"/>
    <s v="Average"/>
    <n v="883"/>
    <n v="35.14"/>
    <n v="370"/>
    <n v="70.77"/>
    <n v="84.52"/>
    <x v="17"/>
    <x v="157"/>
    <m/>
    <m/>
  </r>
  <r>
    <x v="2"/>
    <x v="0"/>
    <x v="10"/>
    <n v="1984"/>
    <n v="2666.19"/>
    <n v="310"/>
    <n v="457.19"/>
    <n v="19.55"/>
    <s v="Average"/>
    <n v="793"/>
    <n v="24.54"/>
    <n v="423"/>
    <n v="90.87"/>
    <n v="95.98"/>
    <x v="141"/>
    <x v="122"/>
    <m/>
    <m/>
  </r>
  <r>
    <x v="3"/>
    <x v="5"/>
    <x v="3"/>
    <n v="1433"/>
    <n v="1389.56"/>
    <n v="132"/>
    <n v="385.5"/>
    <n v="27.93"/>
    <s v="Excellent"/>
    <n v="675"/>
    <n v="45.31"/>
    <n v="357"/>
    <n v="81.5"/>
    <n v="97.02"/>
    <x v="142"/>
    <x v="158"/>
    <m/>
    <m/>
  </r>
  <r>
    <x v="0"/>
    <x v="0"/>
    <x v="11"/>
    <n v="1059"/>
    <n v="1928.54"/>
    <n v="403"/>
    <n v="32.93"/>
    <n v="15.66"/>
    <s v="Excellent"/>
    <n v="979"/>
    <n v="2.46"/>
    <n v="494"/>
    <n v="81.650000000000006"/>
    <n v="93.1"/>
    <x v="143"/>
    <x v="159"/>
    <m/>
    <m/>
  </r>
  <r>
    <x v="3"/>
    <x v="1"/>
    <x v="5"/>
    <n v="959"/>
    <n v="1797.07"/>
    <n v="116"/>
    <n v="218.93"/>
    <n v="20.86"/>
    <s v="Good"/>
    <n v="569"/>
    <n v="20.03"/>
    <n v="369"/>
    <n v="87.6"/>
    <n v="81.040000000000006"/>
    <x v="124"/>
    <x v="160"/>
    <m/>
    <m/>
  </r>
  <r>
    <x v="4"/>
    <x v="4"/>
    <x v="4"/>
    <n v="295"/>
    <n v="323.05"/>
    <n v="235"/>
    <n v="324.02"/>
    <n v="7.89"/>
    <s v="Good"/>
    <n v="439"/>
    <n v="5.55"/>
    <n v="21"/>
    <n v="90.46"/>
    <n v="84.65"/>
    <x v="144"/>
    <x v="161"/>
    <m/>
    <m/>
  </r>
  <r>
    <x v="4"/>
    <x v="1"/>
    <x v="0"/>
    <n v="402"/>
    <n v="721.96"/>
    <n v="226"/>
    <n v="439.23"/>
    <n v="8.2799999999999994"/>
    <s v="Below Average"/>
    <n v="552"/>
    <n v="3.25"/>
    <n v="487"/>
    <n v="97.41"/>
    <n v="98.88"/>
    <x v="145"/>
    <x v="162"/>
    <m/>
    <m/>
  </r>
  <r>
    <x v="6"/>
    <x v="0"/>
    <x v="4"/>
    <n v="1002"/>
    <n v="1428.43"/>
    <n v="163"/>
    <n v="101.95"/>
    <n v="27.24"/>
    <s v="Average"/>
    <n v="603"/>
    <n v="35"/>
    <n v="86"/>
    <n v="67.760000000000005"/>
    <n v="83.99"/>
    <x v="146"/>
    <x v="163"/>
    <m/>
    <m/>
  </r>
  <r>
    <x v="6"/>
    <x v="5"/>
    <x v="2"/>
    <n v="1295"/>
    <n v="2110.98"/>
    <n v="102"/>
    <n v="358.29"/>
    <n v="26.23"/>
    <s v="Good"/>
    <n v="280"/>
    <n v="22.02"/>
    <n v="478"/>
    <n v="91.55"/>
    <n v="83.67"/>
    <x v="147"/>
    <x v="164"/>
    <m/>
    <m/>
  </r>
  <r>
    <x v="7"/>
    <x v="5"/>
    <x v="5"/>
    <n v="1063"/>
    <n v="1254.72"/>
    <n v="62"/>
    <n v="181.19"/>
    <n v="7.77"/>
    <s v="Excellent"/>
    <n v="492"/>
    <n v="16.32"/>
    <n v="169"/>
    <n v="76.650000000000006"/>
    <n v="80.5"/>
    <x v="148"/>
    <x v="165"/>
    <m/>
    <m/>
  </r>
  <r>
    <x v="7"/>
    <x v="0"/>
    <x v="1"/>
    <n v="720"/>
    <n v="1379.83"/>
    <n v="12"/>
    <n v="36.76"/>
    <n v="7.4"/>
    <s v="Average"/>
    <n v="430"/>
    <n v="42.69"/>
    <n v="118"/>
    <n v="71.77"/>
    <n v="80.239999999999995"/>
    <x v="149"/>
    <x v="166"/>
    <m/>
    <m/>
  </r>
  <r>
    <x v="6"/>
    <x v="0"/>
    <x v="4"/>
    <n v="725"/>
    <n v="623.71"/>
    <n v="18"/>
    <n v="102.04"/>
    <n v="15.4"/>
    <s v="Excellent"/>
    <n v="364"/>
    <n v="47.05"/>
    <n v="337"/>
    <n v="54.31"/>
    <n v="96.89"/>
    <x v="150"/>
    <x v="167"/>
    <m/>
    <m/>
  </r>
  <r>
    <x v="1"/>
    <x v="4"/>
    <x v="5"/>
    <n v="828"/>
    <n v="1526.3"/>
    <n v="99"/>
    <n v="173.85"/>
    <n v="27.82"/>
    <s v="Good"/>
    <n v="649"/>
    <n v="39.729999999999997"/>
    <n v="275"/>
    <n v="81.400000000000006"/>
    <n v="93.91"/>
    <x v="136"/>
    <x v="168"/>
    <m/>
    <m/>
  </r>
  <r>
    <x v="1"/>
    <x v="4"/>
    <x v="7"/>
    <n v="1330"/>
    <n v="1227.96"/>
    <n v="452"/>
    <n v="277.49"/>
    <n v="14.8"/>
    <s v="Average"/>
    <n v="574"/>
    <n v="43.25"/>
    <n v="85"/>
    <n v="94.81"/>
    <n v="94.41"/>
    <x v="151"/>
    <x v="169"/>
    <m/>
    <m/>
  </r>
  <r>
    <x v="2"/>
    <x v="3"/>
    <x v="3"/>
    <n v="978"/>
    <n v="1017.64"/>
    <n v="443"/>
    <n v="432.56"/>
    <n v="29.2"/>
    <s v="Below Average"/>
    <n v="232"/>
    <n v="31.3"/>
    <n v="102"/>
    <n v="52.58"/>
    <n v="98.19"/>
    <x v="152"/>
    <x v="170"/>
    <m/>
    <m/>
  </r>
  <r>
    <x v="4"/>
    <x v="3"/>
    <x v="7"/>
    <n v="524"/>
    <n v="575.42999999999995"/>
    <n v="346"/>
    <n v="62.96"/>
    <n v="20.8"/>
    <s v="Below Average"/>
    <n v="369"/>
    <n v="30.1"/>
    <n v="180"/>
    <n v="63.45"/>
    <n v="81.83"/>
    <x v="153"/>
    <x v="137"/>
    <m/>
    <m/>
  </r>
  <r>
    <x v="3"/>
    <x v="0"/>
    <x v="2"/>
    <n v="1142"/>
    <n v="749.8"/>
    <n v="112"/>
    <n v="96.01"/>
    <n v="24.41"/>
    <s v="Below Average"/>
    <n v="56"/>
    <n v="26.74"/>
    <n v="222"/>
    <n v="84.18"/>
    <n v="95.2"/>
    <x v="154"/>
    <x v="171"/>
    <m/>
    <m/>
  </r>
  <r>
    <x v="1"/>
    <x v="2"/>
    <x v="11"/>
    <n v="1623"/>
    <n v="1702.53"/>
    <n v="161"/>
    <n v="120.97"/>
    <n v="21.11"/>
    <s v="Average"/>
    <n v="948"/>
    <n v="22.17"/>
    <n v="444"/>
    <n v="76.14"/>
    <n v="82.06"/>
    <x v="155"/>
    <x v="131"/>
    <m/>
    <m/>
  </r>
  <r>
    <x v="7"/>
    <x v="1"/>
    <x v="10"/>
    <n v="403"/>
    <n v="588.16999999999996"/>
    <n v="255"/>
    <n v="446.38"/>
    <n v="7.15"/>
    <s v="Good"/>
    <n v="479"/>
    <n v="16.57"/>
    <n v="201"/>
    <n v="64.77"/>
    <n v="86.74"/>
    <x v="156"/>
    <x v="172"/>
    <m/>
    <m/>
  </r>
  <r>
    <x v="7"/>
    <x v="4"/>
    <x v="7"/>
    <n v="1827"/>
    <n v="2653.13"/>
    <n v="386"/>
    <n v="276.8"/>
    <n v="6.3"/>
    <s v="Average"/>
    <n v="999"/>
    <n v="26.76"/>
    <n v="49"/>
    <n v="64.39"/>
    <n v="85.94"/>
    <x v="157"/>
    <x v="173"/>
    <m/>
    <m/>
  </r>
  <r>
    <x v="3"/>
    <x v="0"/>
    <x v="11"/>
    <n v="1350"/>
    <n v="1689.58"/>
    <n v="70"/>
    <n v="476.45"/>
    <n v="16.16"/>
    <s v="Good"/>
    <n v="685"/>
    <n v="39.770000000000003"/>
    <n v="86"/>
    <n v="82.59"/>
    <n v="92.49"/>
    <x v="125"/>
    <x v="174"/>
    <m/>
    <m/>
  </r>
  <r>
    <x v="7"/>
    <x v="3"/>
    <x v="8"/>
    <n v="1641"/>
    <n v="3079.49"/>
    <n v="482"/>
    <n v="29.09"/>
    <n v="9.7799999999999994"/>
    <s v="Below Average"/>
    <n v="752"/>
    <n v="41.96"/>
    <n v="60"/>
    <n v="96.84"/>
    <n v="86.21"/>
    <x v="158"/>
    <x v="175"/>
    <m/>
    <m/>
  </r>
  <r>
    <x v="5"/>
    <x v="4"/>
    <x v="3"/>
    <n v="1394"/>
    <n v="739.03"/>
    <n v="357"/>
    <n v="425.22"/>
    <n v="8.09"/>
    <s v="Good"/>
    <n v="320"/>
    <n v="42.49"/>
    <n v="400"/>
    <n v="51.36"/>
    <n v="84.31"/>
    <x v="123"/>
    <x v="176"/>
    <m/>
    <m/>
  </r>
  <r>
    <x v="4"/>
    <x v="1"/>
    <x v="10"/>
    <n v="1702"/>
    <n v="2380.1"/>
    <n v="159"/>
    <n v="483.9"/>
    <n v="27.12"/>
    <s v="Below Average"/>
    <n v="34"/>
    <n v="16.13"/>
    <n v="87"/>
    <n v="77.39"/>
    <n v="85.04"/>
    <x v="46"/>
    <x v="177"/>
    <m/>
    <m/>
  </r>
  <r>
    <x v="7"/>
    <x v="0"/>
    <x v="1"/>
    <n v="571"/>
    <n v="620.20000000000005"/>
    <n v="250"/>
    <n v="359.52"/>
    <n v="15.3"/>
    <s v="Below Average"/>
    <n v="271"/>
    <n v="37.76"/>
    <n v="193"/>
    <n v="53.72"/>
    <n v="80.16"/>
    <x v="159"/>
    <x v="178"/>
    <m/>
    <m/>
  </r>
  <r>
    <x v="3"/>
    <x v="2"/>
    <x v="0"/>
    <n v="1080"/>
    <n v="935.58"/>
    <n v="390"/>
    <n v="396.65"/>
    <n v="23.78"/>
    <s v="Below Average"/>
    <n v="353"/>
    <n v="34.380000000000003"/>
    <n v="350"/>
    <n v="53.68"/>
    <n v="95.31"/>
    <x v="160"/>
    <x v="179"/>
    <m/>
    <m/>
  </r>
  <r>
    <x v="5"/>
    <x v="5"/>
    <x v="4"/>
    <n v="1588"/>
    <n v="2404.1"/>
    <n v="367"/>
    <n v="97.74"/>
    <n v="15.63"/>
    <s v="Below Average"/>
    <n v="415"/>
    <n v="35.83"/>
    <n v="303"/>
    <n v="72.08"/>
    <n v="96.98"/>
    <x v="24"/>
    <x v="180"/>
    <m/>
    <m/>
  </r>
  <r>
    <x v="6"/>
    <x v="1"/>
    <x v="3"/>
    <n v="228"/>
    <n v="239.77"/>
    <n v="336"/>
    <n v="200.9"/>
    <n v="25.92"/>
    <s v="Below Average"/>
    <n v="366"/>
    <n v="27.34"/>
    <n v="365"/>
    <n v="65.05"/>
    <n v="92.61"/>
    <x v="51"/>
    <x v="109"/>
    <m/>
    <m/>
  </r>
  <r>
    <x v="1"/>
    <x v="5"/>
    <x v="5"/>
    <n v="707"/>
    <n v="1134.4000000000001"/>
    <n v="132"/>
    <n v="57.66"/>
    <n v="11.53"/>
    <s v="Good"/>
    <n v="165"/>
    <n v="38.32"/>
    <n v="252"/>
    <n v="70.7"/>
    <n v="88.72"/>
    <x v="161"/>
    <x v="181"/>
    <m/>
    <m/>
  </r>
  <r>
    <x v="2"/>
    <x v="5"/>
    <x v="10"/>
    <n v="1198"/>
    <n v="1153.27"/>
    <n v="120"/>
    <n v="372.5"/>
    <n v="6.17"/>
    <s v="Excellent"/>
    <n v="103"/>
    <n v="15.75"/>
    <n v="351"/>
    <n v="68.790000000000006"/>
    <n v="90.67"/>
    <x v="87"/>
    <x v="182"/>
    <m/>
    <m/>
  </r>
  <r>
    <x v="2"/>
    <x v="3"/>
    <x v="10"/>
    <n v="935"/>
    <n v="829.79"/>
    <n v="168"/>
    <n v="379.76"/>
    <n v="11.73"/>
    <s v="Below Average"/>
    <n v="391"/>
    <n v="45.71"/>
    <n v="159"/>
    <n v="78.55"/>
    <n v="84.11"/>
    <x v="162"/>
    <x v="1"/>
    <m/>
    <m/>
  </r>
  <r>
    <x v="7"/>
    <x v="5"/>
    <x v="11"/>
    <n v="323"/>
    <n v="207.4"/>
    <n v="483"/>
    <n v="126.7"/>
    <n v="16.059999999999999"/>
    <s v="Good"/>
    <n v="514"/>
    <n v="10.24"/>
    <n v="174"/>
    <n v="56.54"/>
    <n v="82.39"/>
    <x v="163"/>
    <x v="183"/>
    <m/>
    <m/>
  </r>
  <r>
    <x v="6"/>
    <x v="5"/>
    <x v="9"/>
    <n v="550"/>
    <n v="663.45"/>
    <n v="91"/>
    <n v="166.74"/>
    <n v="11.78"/>
    <s v="Excellent"/>
    <n v="541"/>
    <n v="39.92"/>
    <n v="135"/>
    <n v="86.23"/>
    <n v="98"/>
    <x v="164"/>
    <x v="184"/>
    <m/>
    <m/>
  </r>
  <r>
    <x v="2"/>
    <x v="5"/>
    <x v="9"/>
    <n v="1249"/>
    <n v="1519.37"/>
    <n v="35"/>
    <n v="279.08999999999997"/>
    <n v="5.91"/>
    <s v="Average"/>
    <n v="632"/>
    <n v="39.369999999999997"/>
    <n v="276"/>
    <n v="69.150000000000006"/>
    <n v="86.39"/>
    <x v="165"/>
    <x v="157"/>
    <m/>
    <m/>
  </r>
  <r>
    <x v="7"/>
    <x v="4"/>
    <x v="6"/>
    <n v="457"/>
    <n v="289.27999999999997"/>
    <n v="190"/>
    <n v="374.68"/>
    <n v="19.27"/>
    <s v="Average"/>
    <n v="496"/>
    <n v="30.35"/>
    <n v="33"/>
    <n v="60.15"/>
    <n v="87.73"/>
    <x v="166"/>
    <x v="185"/>
    <m/>
    <m/>
  </r>
  <r>
    <x v="7"/>
    <x v="0"/>
    <x v="1"/>
    <n v="1132"/>
    <n v="1519.34"/>
    <n v="234"/>
    <n v="423.82"/>
    <n v="12.9"/>
    <s v="Below Average"/>
    <n v="29"/>
    <n v="9.4700000000000006"/>
    <n v="273"/>
    <n v="50.76"/>
    <n v="90.38"/>
    <x v="167"/>
    <x v="186"/>
    <m/>
    <m/>
  </r>
  <r>
    <x v="2"/>
    <x v="0"/>
    <x v="6"/>
    <n v="1548"/>
    <n v="1748.56"/>
    <n v="12"/>
    <n v="395.83"/>
    <n v="5.59"/>
    <s v="Good"/>
    <n v="793"/>
    <n v="16.04"/>
    <n v="425"/>
    <n v="97.39"/>
    <n v="82.8"/>
    <x v="168"/>
    <x v="187"/>
    <m/>
    <m/>
  </r>
  <r>
    <x v="1"/>
    <x v="5"/>
    <x v="11"/>
    <n v="806"/>
    <n v="499.62"/>
    <n v="135"/>
    <n v="237.42"/>
    <n v="22.69"/>
    <s v="Good"/>
    <n v="122"/>
    <n v="34.119999999999997"/>
    <n v="334"/>
    <n v="69.41"/>
    <n v="84.61"/>
    <x v="169"/>
    <x v="168"/>
    <m/>
    <m/>
  </r>
  <r>
    <x v="6"/>
    <x v="4"/>
    <x v="5"/>
    <n v="1780"/>
    <n v="2907.51"/>
    <n v="349"/>
    <n v="400.23"/>
    <n v="10.54"/>
    <s v="Below Average"/>
    <n v="765"/>
    <n v="44.58"/>
    <n v="439"/>
    <n v="94.27"/>
    <n v="91.37"/>
    <x v="122"/>
    <x v="188"/>
    <m/>
    <m/>
  </r>
  <r>
    <x v="7"/>
    <x v="5"/>
    <x v="9"/>
    <n v="240"/>
    <n v="454.82"/>
    <n v="15"/>
    <n v="365.54"/>
    <n v="11.69"/>
    <s v="Average"/>
    <n v="520"/>
    <n v="26.6"/>
    <n v="374"/>
    <n v="95.56"/>
    <n v="97.55"/>
    <x v="170"/>
    <x v="189"/>
    <m/>
    <m/>
  </r>
  <r>
    <x v="4"/>
    <x v="1"/>
    <x v="5"/>
    <n v="1640"/>
    <n v="1835.59"/>
    <n v="367"/>
    <n v="133.9"/>
    <n v="6.16"/>
    <s v="Excellent"/>
    <n v="220"/>
    <n v="23.66"/>
    <n v="118"/>
    <n v="79.540000000000006"/>
    <n v="91.76"/>
    <x v="33"/>
    <x v="190"/>
    <m/>
    <m/>
  </r>
  <r>
    <x v="6"/>
    <x v="0"/>
    <x v="8"/>
    <n v="675"/>
    <n v="392.57"/>
    <n v="207"/>
    <n v="371.01"/>
    <n v="24.59"/>
    <s v="Average"/>
    <n v="20"/>
    <n v="26.76"/>
    <n v="165"/>
    <n v="90.22"/>
    <n v="89.05"/>
    <x v="63"/>
    <x v="191"/>
    <m/>
    <m/>
  </r>
  <r>
    <x v="1"/>
    <x v="5"/>
    <x v="8"/>
    <n v="1179"/>
    <n v="1082.77"/>
    <n v="282"/>
    <n v="320.08999999999997"/>
    <n v="18.100000000000001"/>
    <s v="Excellent"/>
    <n v="567"/>
    <n v="36.42"/>
    <n v="482"/>
    <n v="76.89"/>
    <n v="92.61"/>
    <x v="171"/>
    <x v="159"/>
    <m/>
    <m/>
  </r>
  <r>
    <x v="3"/>
    <x v="5"/>
    <x v="10"/>
    <n v="760"/>
    <n v="1082.99"/>
    <n v="147"/>
    <n v="482.98"/>
    <n v="11.51"/>
    <s v="Good"/>
    <n v="935"/>
    <n v="1.06"/>
    <n v="152"/>
    <n v="84.88"/>
    <n v="93.97"/>
    <x v="172"/>
    <x v="192"/>
    <m/>
    <m/>
  </r>
  <r>
    <x v="6"/>
    <x v="0"/>
    <x v="10"/>
    <n v="1592"/>
    <n v="2779.95"/>
    <n v="74"/>
    <n v="390.13"/>
    <n v="10.54"/>
    <s v="Below Average"/>
    <n v="418"/>
    <n v="38.04"/>
    <n v="453"/>
    <n v="82.25"/>
    <n v="83.11"/>
    <x v="173"/>
    <x v="166"/>
    <m/>
    <m/>
  </r>
  <r>
    <x v="1"/>
    <x v="1"/>
    <x v="2"/>
    <n v="421"/>
    <n v="560.4"/>
    <n v="88"/>
    <n v="75.36"/>
    <n v="26.52"/>
    <s v="Excellent"/>
    <n v="269"/>
    <n v="9.33"/>
    <n v="299"/>
    <n v="84.08"/>
    <n v="81.37"/>
    <x v="174"/>
    <x v="193"/>
    <m/>
    <m/>
  </r>
  <r>
    <x v="7"/>
    <x v="5"/>
    <x v="4"/>
    <n v="1153"/>
    <n v="1886.33"/>
    <n v="56"/>
    <n v="478.75"/>
    <n v="12.6"/>
    <s v="Average"/>
    <n v="899"/>
    <n v="18.78"/>
    <n v="20"/>
    <n v="91.53"/>
    <n v="88.69"/>
    <x v="141"/>
    <x v="134"/>
    <m/>
    <m/>
  </r>
  <r>
    <x v="5"/>
    <x v="3"/>
    <x v="3"/>
    <n v="799"/>
    <n v="421.74"/>
    <n v="190"/>
    <n v="383.36"/>
    <n v="22.58"/>
    <s v="Good"/>
    <n v="563"/>
    <n v="49.44"/>
    <n v="458"/>
    <n v="82.05"/>
    <n v="92.4"/>
    <x v="175"/>
    <x v="166"/>
    <m/>
    <m/>
  </r>
  <r>
    <x v="4"/>
    <x v="2"/>
    <x v="5"/>
    <n v="1330"/>
    <n v="1379.49"/>
    <n v="199"/>
    <n v="381.63"/>
    <n v="23.68"/>
    <s v="Good"/>
    <n v="979"/>
    <n v="6.55"/>
    <n v="52"/>
    <n v="54.37"/>
    <n v="93.48"/>
    <x v="176"/>
    <x v="194"/>
    <m/>
    <m/>
  </r>
  <r>
    <x v="2"/>
    <x v="0"/>
    <x v="10"/>
    <n v="1597"/>
    <n v="1032.76"/>
    <n v="204"/>
    <n v="294.31"/>
    <n v="26.62"/>
    <s v="Average"/>
    <n v="63"/>
    <n v="27.95"/>
    <n v="254"/>
    <n v="87.36"/>
    <n v="94.23"/>
    <x v="25"/>
    <x v="174"/>
    <m/>
    <m/>
  </r>
  <r>
    <x v="2"/>
    <x v="3"/>
    <x v="4"/>
    <n v="1723"/>
    <n v="1945.03"/>
    <n v="458"/>
    <n v="20.37"/>
    <n v="23.85"/>
    <s v="Below Average"/>
    <n v="896"/>
    <n v="15.11"/>
    <n v="406"/>
    <n v="96.5"/>
    <n v="92.16"/>
    <x v="177"/>
    <x v="195"/>
    <m/>
    <m/>
  </r>
  <r>
    <x v="4"/>
    <x v="4"/>
    <x v="4"/>
    <n v="799"/>
    <n v="932.49"/>
    <n v="372"/>
    <n v="224.18"/>
    <n v="9.41"/>
    <s v="Good"/>
    <n v="514"/>
    <n v="24.03"/>
    <n v="33"/>
    <n v="76.180000000000007"/>
    <n v="82.38"/>
    <x v="178"/>
    <x v="196"/>
    <m/>
    <m/>
  </r>
  <r>
    <x v="5"/>
    <x v="0"/>
    <x v="0"/>
    <n v="473"/>
    <n v="458.86"/>
    <n v="442"/>
    <n v="329.72"/>
    <n v="24.4"/>
    <s v="Average"/>
    <n v="634"/>
    <n v="18.93"/>
    <n v="37"/>
    <n v="59.08"/>
    <n v="89.37"/>
    <x v="148"/>
    <x v="112"/>
    <m/>
    <m/>
  </r>
  <r>
    <x v="5"/>
    <x v="4"/>
    <x v="0"/>
    <n v="1632"/>
    <n v="1090.9000000000001"/>
    <n v="444"/>
    <n v="31.91"/>
    <n v="10.23"/>
    <s v="Excellent"/>
    <n v="179"/>
    <n v="39.94"/>
    <n v="123"/>
    <n v="60.37"/>
    <n v="91.44"/>
    <x v="142"/>
    <x v="197"/>
    <m/>
    <m/>
  </r>
  <r>
    <x v="0"/>
    <x v="3"/>
    <x v="3"/>
    <n v="967"/>
    <n v="577.74"/>
    <n v="273"/>
    <n v="27.64"/>
    <n v="5.29"/>
    <s v="Excellent"/>
    <n v="67"/>
    <n v="10.91"/>
    <n v="260"/>
    <n v="81.41"/>
    <n v="86.69"/>
    <x v="88"/>
    <x v="198"/>
    <m/>
    <m/>
  </r>
  <r>
    <x v="0"/>
    <x v="2"/>
    <x v="3"/>
    <n v="1489"/>
    <n v="1252.55"/>
    <n v="366"/>
    <n v="25.3"/>
    <n v="17.13"/>
    <s v="Below Average"/>
    <n v="824"/>
    <n v="23.03"/>
    <n v="174"/>
    <n v="52.92"/>
    <n v="83.01"/>
    <x v="179"/>
    <x v="161"/>
    <m/>
    <m/>
  </r>
  <r>
    <x v="3"/>
    <x v="1"/>
    <x v="6"/>
    <n v="1913"/>
    <n v="1994.76"/>
    <n v="224"/>
    <n v="440.06"/>
    <n v="15.42"/>
    <s v="Good"/>
    <n v="174"/>
    <n v="13.31"/>
    <n v="83"/>
    <n v="66.05"/>
    <n v="80"/>
    <x v="180"/>
    <x v="191"/>
    <m/>
    <m/>
  </r>
  <r>
    <x v="6"/>
    <x v="4"/>
    <x v="1"/>
    <n v="845"/>
    <n v="863.07"/>
    <n v="227"/>
    <n v="54.56"/>
    <n v="8.8800000000000008"/>
    <s v="Good"/>
    <n v="951"/>
    <n v="19.64"/>
    <n v="56"/>
    <n v="97.5"/>
    <n v="83.48"/>
    <x v="100"/>
    <x v="145"/>
    <m/>
    <m/>
  </r>
  <r>
    <x v="3"/>
    <x v="3"/>
    <x v="1"/>
    <n v="1259"/>
    <n v="1117.56"/>
    <n v="243"/>
    <n v="310.48"/>
    <n v="23.6"/>
    <s v="Good"/>
    <n v="487"/>
    <n v="24.95"/>
    <n v="324"/>
    <n v="63.44"/>
    <n v="98.45"/>
    <x v="181"/>
    <x v="199"/>
    <m/>
    <m/>
  </r>
  <r>
    <x v="2"/>
    <x v="0"/>
    <x v="11"/>
    <n v="1820"/>
    <n v="3196.97"/>
    <n v="129"/>
    <n v="32.9"/>
    <n v="9.0500000000000007"/>
    <s v="Below Average"/>
    <n v="947"/>
    <n v="25.4"/>
    <n v="392"/>
    <n v="88.5"/>
    <n v="95.72"/>
    <x v="182"/>
    <x v="40"/>
    <m/>
    <m/>
  </r>
  <r>
    <x v="4"/>
    <x v="2"/>
    <x v="11"/>
    <n v="612"/>
    <n v="783.79"/>
    <n v="101"/>
    <n v="226.43"/>
    <n v="10.76"/>
    <s v="Good"/>
    <n v="910"/>
    <n v="33.340000000000003"/>
    <n v="163"/>
    <n v="69.040000000000006"/>
    <n v="87.05"/>
    <x v="183"/>
    <x v="200"/>
    <m/>
    <m/>
  </r>
  <r>
    <x v="3"/>
    <x v="5"/>
    <x v="4"/>
    <n v="1967"/>
    <n v="1886.45"/>
    <n v="369"/>
    <n v="380.99"/>
    <n v="7"/>
    <s v="Excellent"/>
    <n v="230"/>
    <n v="7.14"/>
    <n v="317"/>
    <n v="63.24"/>
    <n v="96.64"/>
    <x v="184"/>
    <x v="155"/>
    <m/>
    <m/>
  </r>
  <r>
    <x v="0"/>
    <x v="1"/>
    <x v="0"/>
    <n v="1249"/>
    <n v="2491.7600000000002"/>
    <n v="367"/>
    <n v="446.61"/>
    <n v="18.809999999999999"/>
    <s v="Excellent"/>
    <n v="948"/>
    <n v="41.54"/>
    <n v="312"/>
    <n v="96.64"/>
    <n v="93.5"/>
    <x v="184"/>
    <x v="115"/>
    <m/>
    <m/>
  </r>
  <r>
    <x v="2"/>
    <x v="0"/>
    <x v="6"/>
    <n v="450"/>
    <n v="445.76"/>
    <n v="373"/>
    <n v="123.59"/>
    <n v="26.75"/>
    <s v="Below Average"/>
    <n v="939"/>
    <n v="36.08"/>
    <n v="410"/>
    <n v="65.760000000000005"/>
    <n v="97.94"/>
    <x v="185"/>
    <x v="201"/>
    <m/>
    <m/>
  </r>
  <r>
    <x v="6"/>
    <x v="4"/>
    <x v="5"/>
    <n v="973"/>
    <n v="1487.31"/>
    <n v="488"/>
    <n v="386.28"/>
    <n v="25.39"/>
    <s v="Below Average"/>
    <n v="799"/>
    <n v="15.99"/>
    <n v="201"/>
    <n v="76.39"/>
    <n v="90.65"/>
    <x v="175"/>
    <x v="202"/>
    <m/>
    <m/>
  </r>
  <r>
    <x v="6"/>
    <x v="0"/>
    <x v="3"/>
    <n v="486"/>
    <n v="492.48"/>
    <n v="203"/>
    <n v="249.19"/>
    <n v="6.25"/>
    <s v="Below Average"/>
    <n v="91"/>
    <n v="35.75"/>
    <n v="97"/>
    <n v="96.25"/>
    <n v="86.09"/>
    <x v="105"/>
    <x v="203"/>
    <m/>
    <m/>
  </r>
  <r>
    <x v="5"/>
    <x v="5"/>
    <x v="0"/>
    <n v="1801"/>
    <n v="2560.63"/>
    <n v="110"/>
    <n v="344.6"/>
    <n v="9.27"/>
    <s v="Excellent"/>
    <n v="538"/>
    <n v="45.31"/>
    <n v="391"/>
    <n v="70.64"/>
    <n v="89.51"/>
    <x v="154"/>
    <x v="204"/>
    <m/>
    <m/>
  </r>
  <r>
    <x v="6"/>
    <x v="5"/>
    <x v="5"/>
    <n v="149"/>
    <n v="233.57"/>
    <n v="312"/>
    <n v="286.72000000000003"/>
    <n v="16.77"/>
    <s v="Good"/>
    <n v="692"/>
    <n v="25.11"/>
    <n v="161"/>
    <n v="85.69"/>
    <n v="80.34"/>
    <x v="186"/>
    <x v="205"/>
    <m/>
    <m/>
  </r>
  <r>
    <x v="7"/>
    <x v="3"/>
    <x v="8"/>
    <n v="1444"/>
    <n v="900.29"/>
    <n v="372"/>
    <n v="491.77"/>
    <n v="22.27"/>
    <s v="Good"/>
    <n v="25"/>
    <n v="16.79"/>
    <n v="446"/>
    <n v="78.31"/>
    <n v="94.24"/>
    <x v="187"/>
    <x v="206"/>
    <m/>
    <m/>
  </r>
  <r>
    <x v="4"/>
    <x v="0"/>
    <x v="6"/>
    <n v="691"/>
    <n v="1222.02"/>
    <n v="178"/>
    <n v="156.24"/>
    <n v="13.72"/>
    <s v="Excellent"/>
    <n v="864"/>
    <n v="37.799999999999997"/>
    <n v="61"/>
    <n v="95.09"/>
    <n v="88.82"/>
    <x v="34"/>
    <x v="177"/>
    <m/>
    <m/>
  </r>
  <r>
    <x v="1"/>
    <x v="0"/>
    <x v="4"/>
    <n v="585"/>
    <n v="990.76"/>
    <n v="57"/>
    <n v="10.55"/>
    <n v="21.51"/>
    <s v="Good"/>
    <n v="484"/>
    <n v="41.38"/>
    <n v="282"/>
    <n v="70.97"/>
    <n v="89.78"/>
    <x v="8"/>
    <x v="207"/>
    <m/>
    <m/>
  </r>
  <r>
    <x v="4"/>
    <x v="1"/>
    <x v="7"/>
    <n v="120"/>
    <n v="176.97"/>
    <n v="256"/>
    <n v="121.16"/>
    <n v="26.94"/>
    <s v="Good"/>
    <n v="609"/>
    <n v="24.64"/>
    <n v="232"/>
    <n v="51.61"/>
    <n v="93.02"/>
    <x v="188"/>
    <x v="208"/>
    <m/>
    <m/>
  </r>
  <r>
    <x v="3"/>
    <x v="3"/>
    <x v="4"/>
    <n v="410"/>
    <n v="588.33000000000004"/>
    <n v="410"/>
    <n v="478"/>
    <n v="6.27"/>
    <s v="Excellent"/>
    <n v="234"/>
    <n v="35.049999999999997"/>
    <n v="87"/>
    <n v="59.7"/>
    <n v="89.32"/>
    <x v="189"/>
    <x v="209"/>
    <m/>
    <m/>
  </r>
  <r>
    <x v="3"/>
    <x v="5"/>
    <x v="8"/>
    <n v="1627"/>
    <n v="1871.74"/>
    <n v="433"/>
    <n v="470.86"/>
    <n v="5.2"/>
    <s v="Good"/>
    <n v="276"/>
    <n v="41.88"/>
    <n v="63"/>
    <n v="52.4"/>
    <n v="98.8"/>
    <x v="190"/>
    <x v="157"/>
    <m/>
    <m/>
  </r>
  <r>
    <x v="5"/>
    <x v="2"/>
    <x v="0"/>
    <n v="387"/>
    <n v="420.74"/>
    <n v="410"/>
    <n v="20.63"/>
    <n v="19.309999999999999"/>
    <s v="Below Average"/>
    <n v="816"/>
    <n v="12.92"/>
    <n v="326"/>
    <n v="59.65"/>
    <n v="98.94"/>
    <x v="191"/>
    <x v="129"/>
    <m/>
    <m/>
  </r>
  <r>
    <x v="4"/>
    <x v="3"/>
    <x v="2"/>
    <n v="1485"/>
    <n v="1245.1500000000001"/>
    <n v="199"/>
    <n v="221.73"/>
    <n v="5.67"/>
    <s v="Good"/>
    <n v="414"/>
    <n v="13.37"/>
    <n v="161"/>
    <n v="62.77"/>
    <n v="89.18"/>
    <x v="136"/>
    <x v="210"/>
    <m/>
    <m/>
  </r>
  <r>
    <x v="4"/>
    <x v="5"/>
    <x v="5"/>
    <n v="708"/>
    <n v="603.49"/>
    <n v="432"/>
    <n v="151.6"/>
    <n v="10.27"/>
    <s v="Below Average"/>
    <n v="695"/>
    <n v="21.27"/>
    <n v="333"/>
    <n v="78.89"/>
    <n v="87.71"/>
    <x v="192"/>
    <x v="211"/>
    <m/>
    <m/>
  </r>
  <r>
    <x v="1"/>
    <x v="3"/>
    <x v="6"/>
    <n v="1301"/>
    <n v="2251.1799999999998"/>
    <n v="309"/>
    <n v="162.27000000000001"/>
    <n v="5.94"/>
    <s v="Excellent"/>
    <n v="439"/>
    <n v="17.149999999999999"/>
    <n v="346"/>
    <n v="92.63"/>
    <n v="96.93"/>
    <x v="127"/>
    <x v="39"/>
    <m/>
    <m/>
  </r>
  <r>
    <x v="1"/>
    <x v="1"/>
    <x v="7"/>
    <n v="1521"/>
    <n v="2207.87"/>
    <n v="164"/>
    <n v="61"/>
    <n v="17"/>
    <s v="Good"/>
    <n v="780"/>
    <n v="20.41"/>
    <n v="189"/>
    <n v="75.150000000000006"/>
    <n v="91.26"/>
    <x v="53"/>
    <x v="53"/>
    <m/>
    <m/>
  </r>
  <r>
    <x v="0"/>
    <x v="2"/>
    <x v="7"/>
    <n v="1136"/>
    <n v="2090.36"/>
    <n v="476"/>
    <n v="188.26"/>
    <n v="6.54"/>
    <s v="Excellent"/>
    <n v="105"/>
    <n v="23.9"/>
    <n v="53"/>
    <n v="50.19"/>
    <n v="90.08"/>
    <x v="193"/>
    <x v="34"/>
    <m/>
    <m/>
  </r>
  <r>
    <x v="1"/>
    <x v="1"/>
    <x v="8"/>
    <n v="1913"/>
    <n v="3323.42"/>
    <n v="17"/>
    <n v="178.98"/>
    <n v="10.029999999999999"/>
    <s v="Excellent"/>
    <n v="958"/>
    <n v="46.75"/>
    <n v="53"/>
    <n v="68.87"/>
    <n v="91.7"/>
    <x v="114"/>
    <x v="212"/>
    <m/>
    <m/>
  </r>
  <r>
    <x v="0"/>
    <x v="3"/>
    <x v="5"/>
    <n v="641"/>
    <n v="738.95"/>
    <n v="100"/>
    <n v="301.26"/>
    <n v="7.73"/>
    <s v="Below Average"/>
    <n v="651"/>
    <n v="8.3800000000000008"/>
    <n v="256"/>
    <n v="61.22"/>
    <n v="96.54"/>
    <x v="98"/>
    <x v="213"/>
    <m/>
    <m/>
  </r>
  <r>
    <x v="6"/>
    <x v="3"/>
    <x v="9"/>
    <n v="432"/>
    <n v="463.09"/>
    <n v="69"/>
    <n v="405.63"/>
    <n v="7.03"/>
    <s v="Good"/>
    <n v="977"/>
    <n v="42.21"/>
    <n v="330"/>
    <n v="94.71"/>
    <n v="95.05"/>
    <x v="20"/>
    <x v="119"/>
    <m/>
    <m/>
  </r>
  <r>
    <x v="3"/>
    <x v="0"/>
    <x v="9"/>
    <n v="1897"/>
    <n v="3493.18"/>
    <n v="282"/>
    <n v="463.13"/>
    <n v="19.39"/>
    <s v="Average"/>
    <n v="444"/>
    <n v="7.03"/>
    <n v="48"/>
    <n v="52.54"/>
    <n v="98.63"/>
    <x v="194"/>
    <x v="214"/>
    <m/>
    <m/>
  </r>
  <r>
    <x v="7"/>
    <x v="3"/>
    <x v="2"/>
    <n v="1772"/>
    <n v="1723.85"/>
    <n v="204"/>
    <n v="427.45"/>
    <n v="8.01"/>
    <s v="Excellent"/>
    <n v="989"/>
    <n v="39.549999999999997"/>
    <n v="496"/>
    <n v="63.18"/>
    <n v="93.76"/>
    <x v="148"/>
    <x v="60"/>
    <m/>
    <m/>
  </r>
  <r>
    <x v="6"/>
    <x v="1"/>
    <x v="10"/>
    <n v="301"/>
    <n v="244.36"/>
    <n v="279"/>
    <n v="29.57"/>
    <n v="20.84"/>
    <s v="Below Average"/>
    <n v="602"/>
    <n v="3.28"/>
    <n v="61"/>
    <n v="64.52"/>
    <n v="98.94"/>
    <x v="195"/>
    <x v="215"/>
    <m/>
    <m/>
  </r>
  <r>
    <x v="1"/>
    <x v="5"/>
    <x v="5"/>
    <n v="1112"/>
    <n v="1624.61"/>
    <n v="339"/>
    <n v="375.08"/>
    <n v="21.95"/>
    <s v="Below Average"/>
    <n v="418"/>
    <n v="26.98"/>
    <n v="31"/>
    <n v="59.65"/>
    <n v="95.41"/>
    <x v="196"/>
    <x v="216"/>
    <m/>
    <m/>
  </r>
  <r>
    <x v="4"/>
    <x v="5"/>
    <x v="10"/>
    <n v="1032"/>
    <n v="1071.48"/>
    <n v="105"/>
    <n v="90.03"/>
    <n v="29.21"/>
    <s v="Below Average"/>
    <n v="90"/>
    <n v="10.38"/>
    <n v="428"/>
    <n v="61.53"/>
    <n v="88.67"/>
    <x v="197"/>
    <x v="217"/>
    <m/>
    <m/>
  </r>
  <r>
    <x v="4"/>
    <x v="1"/>
    <x v="2"/>
    <n v="165"/>
    <n v="247.88"/>
    <n v="108"/>
    <n v="16.260000000000002"/>
    <n v="26.05"/>
    <s v="Good"/>
    <n v="471"/>
    <n v="12.58"/>
    <n v="69"/>
    <n v="73.39"/>
    <n v="95.76"/>
    <x v="198"/>
    <x v="62"/>
    <m/>
    <m/>
  </r>
  <r>
    <x v="0"/>
    <x v="3"/>
    <x v="7"/>
    <n v="1136"/>
    <n v="1014.29"/>
    <n v="209"/>
    <n v="393.32"/>
    <n v="13.25"/>
    <s v="Average"/>
    <n v="221"/>
    <n v="11.19"/>
    <n v="74"/>
    <n v="62.29"/>
    <n v="98.17"/>
    <x v="199"/>
    <x v="218"/>
    <m/>
    <m/>
  </r>
  <r>
    <x v="1"/>
    <x v="4"/>
    <x v="1"/>
    <n v="979"/>
    <n v="809.1"/>
    <n v="371"/>
    <n v="160.97"/>
    <n v="18.77"/>
    <s v="Below Average"/>
    <n v="61"/>
    <n v="7.35"/>
    <n v="492"/>
    <n v="54.83"/>
    <n v="87.54"/>
    <x v="182"/>
    <x v="219"/>
    <m/>
    <m/>
  </r>
  <r>
    <x v="6"/>
    <x v="5"/>
    <x v="10"/>
    <n v="171"/>
    <n v="114.57"/>
    <n v="35"/>
    <n v="344.62"/>
    <n v="26.93"/>
    <s v="Excellent"/>
    <n v="670"/>
    <n v="15.83"/>
    <n v="74"/>
    <n v="65.849999999999994"/>
    <n v="84.79"/>
    <x v="172"/>
    <x v="16"/>
    <m/>
    <m/>
  </r>
  <r>
    <x v="5"/>
    <x v="1"/>
    <x v="7"/>
    <n v="1880"/>
    <n v="1203.18"/>
    <n v="215"/>
    <n v="140.19"/>
    <n v="25.22"/>
    <s v="Good"/>
    <n v="111"/>
    <n v="15.18"/>
    <n v="35"/>
    <n v="63.29"/>
    <n v="86.77"/>
    <x v="200"/>
    <x v="36"/>
    <m/>
    <m/>
  </r>
  <r>
    <x v="0"/>
    <x v="5"/>
    <x v="1"/>
    <n v="924"/>
    <n v="1368.32"/>
    <n v="160"/>
    <n v="175.91"/>
    <n v="13.06"/>
    <s v="Excellent"/>
    <n v="194"/>
    <n v="38.72"/>
    <n v="457"/>
    <n v="63.33"/>
    <n v="90.82"/>
    <x v="201"/>
    <x v="220"/>
    <m/>
    <m/>
  </r>
  <r>
    <x v="0"/>
    <x v="2"/>
    <x v="3"/>
    <n v="1244"/>
    <n v="836.29"/>
    <n v="236"/>
    <n v="203.83"/>
    <n v="19.350000000000001"/>
    <s v="Excellent"/>
    <n v="657"/>
    <n v="10.29"/>
    <n v="383"/>
    <n v="59.43"/>
    <n v="86.25"/>
    <x v="202"/>
    <x v="10"/>
    <m/>
    <m/>
  </r>
  <r>
    <x v="1"/>
    <x v="2"/>
    <x v="6"/>
    <n v="789"/>
    <n v="1440.14"/>
    <n v="251"/>
    <n v="169.06"/>
    <n v="23.8"/>
    <s v="Below Average"/>
    <n v="997"/>
    <n v="4.34"/>
    <n v="251"/>
    <n v="84.08"/>
    <n v="97.73"/>
    <x v="203"/>
    <x v="221"/>
    <m/>
    <m/>
  </r>
  <r>
    <x v="6"/>
    <x v="2"/>
    <x v="5"/>
    <n v="1273"/>
    <n v="1846.03"/>
    <n v="68"/>
    <n v="426.59"/>
    <n v="9.2200000000000006"/>
    <s v="Excellent"/>
    <n v="636"/>
    <n v="38.69"/>
    <n v="132"/>
    <n v="59.01"/>
    <n v="85.3"/>
    <x v="23"/>
    <x v="222"/>
    <m/>
    <m/>
  </r>
  <r>
    <x v="4"/>
    <x v="5"/>
    <x v="8"/>
    <n v="1439"/>
    <n v="1825.52"/>
    <n v="292"/>
    <n v="349.01"/>
    <n v="7.7"/>
    <s v="Average"/>
    <n v="288"/>
    <n v="1.98"/>
    <n v="412"/>
    <n v="56.93"/>
    <n v="92.74"/>
    <x v="165"/>
    <x v="223"/>
    <m/>
    <m/>
  </r>
  <r>
    <x v="3"/>
    <x v="1"/>
    <x v="7"/>
    <n v="262"/>
    <n v="134.66999999999999"/>
    <n v="398"/>
    <n v="42.78"/>
    <n v="20.59"/>
    <s v="Average"/>
    <n v="787"/>
    <n v="38.4"/>
    <n v="195"/>
    <n v="87.63"/>
    <n v="87.97"/>
    <x v="30"/>
    <x v="211"/>
    <m/>
    <m/>
  </r>
  <r>
    <x v="2"/>
    <x v="2"/>
    <x v="3"/>
    <n v="1793"/>
    <n v="1662.18"/>
    <n v="449"/>
    <n v="395.37"/>
    <n v="27.17"/>
    <s v="Excellent"/>
    <n v="824"/>
    <n v="44.46"/>
    <n v="163"/>
    <n v="86.03"/>
    <n v="80.900000000000006"/>
    <x v="204"/>
    <x v="224"/>
    <m/>
    <m/>
  </r>
  <r>
    <x v="6"/>
    <x v="0"/>
    <x v="5"/>
    <n v="1415"/>
    <n v="2101.9699999999998"/>
    <n v="294"/>
    <n v="103.09"/>
    <n v="15.87"/>
    <s v="Good"/>
    <n v="702"/>
    <n v="7.19"/>
    <n v="380"/>
    <n v="76.87"/>
    <n v="84.29"/>
    <x v="205"/>
    <x v="225"/>
    <m/>
    <m/>
  </r>
  <r>
    <x v="0"/>
    <x v="1"/>
    <x v="7"/>
    <n v="1073"/>
    <n v="916.74"/>
    <n v="295"/>
    <n v="230.59"/>
    <n v="6.21"/>
    <s v="Excellent"/>
    <n v="954"/>
    <n v="13.64"/>
    <n v="483"/>
    <n v="79.64"/>
    <n v="84.7"/>
    <x v="206"/>
    <x v="226"/>
    <m/>
    <m/>
  </r>
  <r>
    <x v="6"/>
    <x v="3"/>
    <x v="7"/>
    <n v="1533"/>
    <n v="1657.95"/>
    <n v="26"/>
    <n v="489.23"/>
    <n v="10.59"/>
    <s v="Average"/>
    <n v="722"/>
    <n v="45.47"/>
    <n v="408"/>
    <n v="81.61"/>
    <n v="94.44"/>
    <x v="207"/>
    <x v="227"/>
    <m/>
    <m/>
  </r>
  <r>
    <x v="0"/>
    <x v="1"/>
    <x v="9"/>
    <n v="219"/>
    <n v="329.86"/>
    <n v="150"/>
    <n v="487.73"/>
    <n v="19.059999999999999"/>
    <s v="Below Average"/>
    <n v="836"/>
    <n v="14.55"/>
    <n v="220"/>
    <n v="73.150000000000006"/>
    <n v="82.97"/>
    <x v="208"/>
    <x v="228"/>
    <m/>
    <m/>
  </r>
  <r>
    <x v="2"/>
    <x v="4"/>
    <x v="7"/>
    <n v="187"/>
    <n v="231.31"/>
    <n v="194"/>
    <n v="289.69"/>
    <n v="16.45"/>
    <s v="Average"/>
    <n v="517"/>
    <n v="24.76"/>
    <n v="154"/>
    <n v="87.59"/>
    <n v="87.99"/>
    <x v="209"/>
    <x v="80"/>
    <m/>
    <m/>
  </r>
  <r>
    <x v="3"/>
    <x v="3"/>
    <x v="11"/>
    <n v="833"/>
    <n v="611.52"/>
    <n v="116"/>
    <n v="48.45"/>
    <n v="15.69"/>
    <s v="Below Average"/>
    <n v="344"/>
    <n v="35.1"/>
    <n v="365"/>
    <n v="53.76"/>
    <n v="87.01"/>
    <x v="210"/>
    <x v="229"/>
    <m/>
    <m/>
  </r>
  <r>
    <x v="3"/>
    <x v="2"/>
    <x v="2"/>
    <n v="860"/>
    <n v="435.77"/>
    <n v="489"/>
    <n v="281.10000000000002"/>
    <n v="25.01"/>
    <s v="Below Average"/>
    <n v="803"/>
    <n v="4.87"/>
    <n v="128"/>
    <n v="74.760000000000005"/>
    <n v="86.66"/>
    <x v="211"/>
    <x v="230"/>
    <m/>
    <m/>
  </r>
  <r>
    <x v="2"/>
    <x v="1"/>
    <x v="6"/>
    <n v="345"/>
    <n v="358.28"/>
    <n v="15"/>
    <n v="414.39"/>
    <n v="5.8"/>
    <s v="Below Average"/>
    <n v="310"/>
    <n v="4.0999999999999996"/>
    <n v="356"/>
    <n v="62.04"/>
    <n v="86.5"/>
    <x v="212"/>
    <x v="231"/>
    <m/>
    <m/>
  </r>
  <r>
    <x v="6"/>
    <x v="2"/>
    <x v="10"/>
    <n v="853"/>
    <n v="962.23"/>
    <n v="78"/>
    <n v="97.8"/>
    <n v="20.52"/>
    <s v="Excellent"/>
    <n v="146"/>
    <n v="31.94"/>
    <n v="346"/>
    <n v="94.05"/>
    <n v="82.24"/>
    <x v="213"/>
    <x v="232"/>
    <m/>
    <m/>
  </r>
  <r>
    <x v="3"/>
    <x v="4"/>
    <x v="0"/>
    <n v="1131"/>
    <n v="1466.08"/>
    <n v="408"/>
    <n v="80.28"/>
    <n v="13.57"/>
    <s v="Below Average"/>
    <n v="725"/>
    <n v="46.79"/>
    <n v="329"/>
    <n v="89.93"/>
    <n v="92.91"/>
    <x v="143"/>
    <x v="228"/>
    <m/>
    <m/>
  </r>
  <r>
    <x v="2"/>
    <x v="0"/>
    <x v="8"/>
    <n v="1176"/>
    <n v="1469.97"/>
    <n v="413"/>
    <n v="38.32"/>
    <n v="14.21"/>
    <s v="Excellent"/>
    <n v="53"/>
    <n v="2.98"/>
    <n v="107"/>
    <n v="76.510000000000005"/>
    <n v="88.6"/>
    <x v="62"/>
    <x v="233"/>
    <m/>
    <m/>
  </r>
  <r>
    <x v="5"/>
    <x v="1"/>
    <x v="2"/>
    <n v="1058"/>
    <n v="927.55"/>
    <n v="225"/>
    <n v="207.98"/>
    <n v="16.86"/>
    <s v="Excellent"/>
    <n v="937"/>
    <n v="18.829999999999998"/>
    <n v="488"/>
    <n v="73.14"/>
    <n v="82.15"/>
    <x v="8"/>
    <x v="234"/>
    <m/>
    <m/>
  </r>
  <r>
    <x v="7"/>
    <x v="1"/>
    <x v="8"/>
    <n v="1259"/>
    <n v="1668.58"/>
    <n v="229"/>
    <n v="218.26"/>
    <n v="7.79"/>
    <s v="Average"/>
    <n v="83"/>
    <n v="27.83"/>
    <n v="370"/>
    <n v="53.95"/>
    <n v="90.48"/>
    <x v="214"/>
    <x v="235"/>
    <m/>
    <m/>
  </r>
  <r>
    <x v="6"/>
    <x v="4"/>
    <x v="11"/>
    <n v="1547"/>
    <n v="3022.74"/>
    <n v="47"/>
    <n v="431.23"/>
    <n v="7.52"/>
    <s v="Below Average"/>
    <n v="34"/>
    <n v="25.33"/>
    <n v="112"/>
    <n v="94.69"/>
    <n v="90.07"/>
    <x v="177"/>
    <x v="236"/>
    <m/>
    <m/>
  </r>
  <r>
    <x v="7"/>
    <x v="1"/>
    <x v="5"/>
    <n v="410"/>
    <n v="209.4"/>
    <n v="166"/>
    <n v="222"/>
    <n v="23.03"/>
    <s v="Below Average"/>
    <n v="758"/>
    <n v="6.27"/>
    <n v="438"/>
    <n v="95.06"/>
    <n v="80.180000000000007"/>
    <x v="104"/>
    <x v="237"/>
    <m/>
    <m/>
  </r>
  <r>
    <x v="1"/>
    <x v="3"/>
    <x v="8"/>
    <n v="1511"/>
    <n v="1303.81"/>
    <n v="271"/>
    <n v="156.16"/>
    <n v="13.12"/>
    <s v="Excellent"/>
    <n v="787"/>
    <n v="41.66"/>
    <n v="41"/>
    <n v="93.41"/>
    <n v="81.319999999999993"/>
    <x v="163"/>
    <x v="11"/>
    <m/>
    <m/>
  </r>
  <r>
    <x v="2"/>
    <x v="3"/>
    <x v="3"/>
    <n v="885"/>
    <n v="644.16"/>
    <n v="435"/>
    <n v="441.98"/>
    <n v="28.4"/>
    <s v="Below Average"/>
    <n v="811"/>
    <n v="20.46"/>
    <n v="114"/>
    <n v="58.73"/>
    <n v="97.96"/>
    <x v="210"/>
    <x v="238"/>
    <m/>
    <m/>
  </r>
  <r>
    <x v="3"/>
    <x v="3"/>
    <x v="7"/>
    <n v="59"/>
    <n v="42.68"/>
    <n v="376"/>
    <n v="181.96"/>
    <n v="27.23"/>
    <s v="Excellent"/>
    <n v="198"/>
    <n v="31.44"/>
    <n v="58"/>
    <n v="84.07"/>
    <n v="85.38"/>
    <x v="215"/>
    <x v="103"/>
    <m/>
    <m/>
  </r>
  <r>
    <x v="6"/>
    <x v="5"/>
    <x v="10"/>
    <n v="158"/>
    <n v="194.65"/>
    <n v="340"/>
    <n v="445.15"/>
    <n v="24.99"/>
    <s v="Below Average"/>
    <n v="905"/>
    <n v="26.97"/>
    <n v="437"/>
    <n v="50.99"/>
    <n v="88.14"/>
    <x v="216"/>
    <x v="72"/>
    <m/>
    <m/>
  </r>
  <r>
    <x v="2"/>
    <x v="4"/>
    <x v="6"/>
    <n v="1949"/>
    <n v="2152.7600000000002"/>
    <n v="71"/>
    <n v="171.32"/>
    <n v="29.83"/>
    <s v="Good"/>
    <n v="924"/>
    <n v="21.72"/>
    <n v="248"/>
    <n v="64.8"/>
    <n v="83.88"/>
    <x v="123"/>
    <x v="239"/>
    <m/>
    <m/>
  </r>
  <r>
    <x v="6"/>
    <x v="0"/>
    <x v="7"/>
    <n v="1070"/>
    <n v="995.8"/>
    <n v="372"/>
    <n v="390.47"/>
    <n v="22.65"/>
    <s v="Excellent"/>
    <n v="431"/>
    <n v="32.549999999999997"/>
    <n v="23"/>
    <n v="51.51"/>
    <n v="86.05"/>
    <x v="89"/>
    <x v="203"/>
    <m/>
    <m/>
  </r>
  <r>
    <x v="3"/>
    <x v="3"/>
    <x v="3"/>
    <n v="852"/>
    <n v="1231.26"/>
    <n v="398"/>
    <n v="486.69"/>
    <n v="24.58"/>
    <s v="Below Average"/>
    <n v="732"/>
    <n v="11.37"/>
    <n v="466"/>
    <n v="54.82"/>
    <n v="97.65"/>
    <x v="62"/>
    <x v="240"/>
    <m/>
    <m/>
  </r>
  <r>
    <x v="0"/>
    <x v="2"/>
    <x v="11"/>
    <n v="1946"/>
    <n v="3289.16"/>
    <n v="19"/>
    <n v="27.94"/>
    <n v="13.64"/>
    <s v="Excellent"/>
    <n v="635"/>
    <n v="49.89"/>
    <n v="208"/>
    <n v="82.05"/>
    <n v="83.36"/>
    <x v="217"/>
    <x v="241"/>
    <m/>
    <m/>
  </r>
  <r>
    <x v="7"/>
    <x v="5"/>
    <x v="2"/>
    <n v="1660"/>
    <n v="1765.84"/>
    <n v="173"/>
    <n v="396.51"/>
    <n v="18.52"/>
    <s v="Good"/>
    <n v="699"/>
    <n v="13.26"/>
    <n v="138"/>
    <n v="73.53"/>
    <n v="90.66"/>
    <x v="129"/>
    <x v="242"/>
    <m/>
    <m/>
  </r>
  <r>
    <x v="7"/>
    <x v="3"/>
    <x v="8"/>
    <n v="1537"/>
    <n v="1234.31"/>
    <n v="385"/>
    <n v="360.11"/>
    <n v="13.52"/>
    <s v="Below Average"/>
    <n v="475"/>
    <n v="18.670000000000002"/>
    <n v="182"/>
    <n v="92.96"/>
    <n v="81.2"/>
    <x v="214"/>
    <x v="243"/>
    <m/>
    <m/>
  </r>
  <r>
    <x v="4"/>
    <x v="0"/>
    <x v="8"/>
    <n v="310"/>
    <n v="542.61"/>
    <n v="57"/>
    <n v="316.83999999999997"/>
    <n v="10.210000000000001"/>
    <s v="Good"/>
    <n v="982"/>
    <n v="37.700000000000003"/>
    <n v="294"/>
    <n v="88.39"/>
    <n v="92.91"/>
    <x v="218"/>
    <x v="47"/>
    <m/>
    <m/>
  </r>
  <r>
    <x v="2"/>
    <x v="4"/>
    <x v="5"/>
    <n v="598"/>
    <n v="979.05"/>
    <n v="243"/>
    <n v="175.26"/>
    <n v="22.39"/>
    <s v="Below Average"/>
    <n v="346"/>
    <n v="46.27"/>
    <n v="294"/>
    <n v="51.47"/>
    <n v="87.91"/>
    <x v="199"/>
    <x v="189"/>
    <m/>
    <m/>
  </r>
  <r>
    <x v="5"/>
    <x v="3"/>
    <x v="6"/>
    <n v="1947"/>
    <n v="2001.23"/>
    <n v="139"/>
    <n v="170.96"/>
    <n v="12.39"/>
    <s v="Average"/>
    <n v="678"/>
    <n v="17.3"/>
    <n v="229"/>
    <n v="60.55"/>
    <n v="98.5"/>
    <x v="219"/>
    <x v="244"/>
    <m/>
    <m/>
  </r>
  <r>
    <x v="3"/>
    <x v="1"/>
    <x v="11"/>
    <n v="1229"/>
    <n v="675.81"/>
    <n v="419"/>
    <n v="217.42"/>
    <n v="20.46"/>
    <s v="Good"/>
    <n v="76"/>
    <n v="9.64"/>
    <n v="197"/>
    <n v="66.47"/>
    <n v="87.13"/>
    <x v="220"/>
    <x v="245"/>
    <m/>
    <m/>
  </r>
  <r>
    <x v="3"/>
    <x v="5"/>
    <x v="7"/>
    <n v="1459"/>
    <n v="1234.56"/>
    <n v="457"/>
    <n v="496.71"/>
    <n v="18.87"/>
    <s v="Excellent"/>
    <n v="406"/>
    <n v="33.700000000000003"/>
    <n v="368"/>
    <n v="61.29"/>
    <n v="93.08"/>
    <x v="8"/>
    <x v="246"/>
    <m/>
    <m/>
  </r>
  <r>
    <x v="4"/>
    <x v="4"/>
    <x v="0"/>
    <n v="1315"/>
    <n v="2369.3000000000002"/>
    <n v="462"/>
    <n v="137.07"/>
    <n v="20.170000000000002"/>
    <s v="Below Average"/>
    <n v="567"/>
    <n v="40.159999999999997"/>
    <n v="202"/>
    <n v="91.04"/>
    <n v="90.36"/>
    <x v="221"/>
    <x v="67"/>
    <m/>
    <m/>
  </r>
  <r>
    <x v="7"/>
    <x v="4"/>
    <x v="7"/>
    <n v="446"/>
    <n v="431.64"/>
    <n v="156"/>
    <n v="381.02"/>
    <n v="21.25"/>
    <s v="Average"/>
    <n v="972"/>
    <n v="47.79"/>
    <n v="232"/>
    <n v="65.349999999999994"/>
    <n v="86.39"/>
    <x v="222"/>
    <x v="24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81AB36-48E6-4FB5-87AB-16734F5DC77C}" name="claims_an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D11" firstHeaderRow="0" firstDataRow="1" firstDataCol="1"/>
  <pivotFields count="18">
    <pivotField axis="axisRow" showAll="0">
      <items count="9">
        <item x="1"/>
        <item x="5"/>
        <item x="3"/>
        <item x="2"/>
        <item x="6"/>
        <item x="4"/>
        <item x="0"/>
        <item x="7"/>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Claims Settled" fld="5" baseField="0" baseItem="0"/>
    <dataField name="Sum of Claims Amount Paid (in Lakhs)" fld="6" baseField="0" baseItem="0"/>
  </dataFields>
  <formats count="2">
    <format dxfId="1">
      <pivotArea dataOnly="0" labelOnly="1" outline="0" fieldPosition="0">
        <references count="1">
          <reference field="4294967294" count="1">
            <x v="0"/>
          </reference>
        </references>
      </pivotArea>
    </format>
    <format dxfId="0">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B88BC-74DF-415D-B678-FE3D948521F8}" name="renewal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7:K26" firstHeaderRow="0" firstDataRow="1" firstDataCol="1"/>
  <pivotFields count="18">
    <pivotField axis="axisRow" showAll="0">
      <items count="9">
        <item x="1"/>
        <item x="5"/>
        <item x="3"/>
        <item x="2"/>
        <item x="6"/>
        <item x="4"/>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Customer Retention Rate (%)" fld="12" baseField="0" baseItem="0"/>
    <dataField name="Sum of New Customers Acquired" fld="11" baseField="0" baseItem="0"/>
  </dataFields>
  <chartFormats count="2">
    <chartFormat chart="3"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42339-23EB-4856-83D6-32CFB9E57956}" name="bran-perf"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17:D25" firstHeaderRow="0" firstDataRow="1" firstDataCol="1"/>
  <pivotFields count="18">
    <pivotField axis="axisRow" showAll="0">
      <items count="9">
        <item x="1"/>
        <item x="5"/>
        <item x="3"/>
        <item x="2"/>
        <item x="6"/>
        <item x="4"/>
        <item x="0"/>
        <item x="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items count="249">
        <item x="241"/>
        <item x="128"/>
        <item x="158"/>
        <item x="149"/>
        <item x="176"/>
        <item x="9"/>
        <item x="70"/>
        <item x="68"/>
        <item x="228"/>
        <item x="166"/>
        <item x="101"/>
        <item x="5"/>
        <item x="107"/>
        <item x="139"/>
        <item x="20"/>
        <item x="10"/>
        <item x="142"/>
        <item x="55"/>
        <item x="207"/>
        <item x="180"/>
        <item x="226"/>
        <item x="71"/>
        <item x="134"/>
        <item x="221"/>
        <item x="86"/>
        <item x="161"/>
        <item x="72"/>
        <item x="154"/>
        <item x="73"/>
        <item x="15"/>
        <item x="60"/>
        <item x="13"/>
        <item x="57"/>
        <item x="99"/>
        <item x="75"/>
        <item x="77"/>
        <item x="246"/>
        <item x="146"/>
        <item x="23"/>
        <item x="31"/>
        <item x="209"/>
        <item x="170"/>
        <item x="79"/>
        <item x="124"/>
        <item x="94"/>
        <item x="204"/>
        <item x="56"/>
        <item x="129"/>
        <item x="119"/>
        <item x="65"/>
        <item x="186"/>
        <item x="203"/>
        <item x="74"/>
        <item x="105"/>
        <item x="169"/>
        <item x="173"/>
        <item x="17"/>
        <item x="165"/>
        <item x="215"/>
        <item x="171"/>
        <item x="1"/>
        <item x="81"/>
        <item x="37"/>
        <item x="98"/>
        <item x="112"/>
        <item x="232"/>
        <item x="187"/>
        <item x="213"/>
        <item x="18"/>
        <item x="95"/>
        <item x="53"/>
        <item x="78"/>
        <item x="153"/>
        <item x="113"/>
        <item x="229"/>
        <item x="223"/>
        <item x="224"/>
        <item x="117"/>
        <item x="122"/>
        <item x="206"/>
        <item x="76"/>
        <item x="217"/>
        <item x="141"/>
        <item x="49"/>
        <item x="205"/>
        <item x="216"/>
        <item x="148"/>
        <item x="245"/>
        <item x="50"/>
        <item x="183"/>
        <item x="200"/>
        <item x="97"/>
        <item x="34"/>
        <item x="11"/>
        <item x="201"/>
        <item x="227"/>
        <item x="236"/>
        <item x="116"/>
        <item x="157"/>
        <item x="185"/>
        <item x="172"/>
        <item x="43"/>
        <item x="26"/>
        <item x="163"/>
        <item x="7"/>
        <item x="110"/>
        <item x="145"/>
        <item x="2"/>
        <item x="41"/>
        <item x="27"/>
        <item x="42"/>
        <item x="47"/>
        <item x="131"/>
        <item x="91"/>
        <item x="155"/>
        <item x="39"/>
        <item x="106"/>
        <item x="247"/>
        <item x="80"/>
        <item x="219"/>
        <item x="87"/>
        <item x="12"/>
        <item x="212"/>
        <item x="114"/>
        <item x="54"/>
        <item x="193"/>
        <item x="135"/>
        <item x="218"/>
        <item x="48"/>
        <item x="243"/>
        <item x="189"/>
        <item x="175"/>
        <item x="46"/>
        <item x="84"/>
        <item x="14"/>
        <item x="234"/>
        <item x="130"/>
        <item x="61"/>
        <item x="62"/>
        <item x="36"/>
        <item x="242"/>
        <item x="181"/>
        <item x="152"/>
        <item x="240"/>
        <item x="160"/>
        <item x="123"/>
        <item x="33"/>
        <item x="45"/>
        <item x="25"/>
        <item x="164"/>
        <item x="121"/>
        <item x="179"/>
        <item x="115"/>
        <item x="190"/>
        <item x="63"/>
        <item x="51"/>
        <item x="16"/>
        <item x="178"/>
        <item x="196"/>
        <item x="143"/>
        <item x="92"/>
        <item x="177"/>
        <item x="208"/>
        <item x="238"/>
        <item x="69"/>
        <item x="162"/>
        <item x="67"/>
        <item x="150"/>
        <item x="136"/>
        <item x="35"/>
        <item x="28"/>
        <item x="211"/>
        <item x="198"/>
        <item x="108"/>
        <item x="156"/>
        <item x="96"/>
        <item x="202"/>
        <item x="127"/>
        <item x="88"/>
        <item x="188"/>
        <item x="222"/>
        <item x="102"/>
        <item x="111"/>
        <item x="4"/>
        <item x="52"/>
        <item x="6"/>
        <item x="118"/>
        <item x="66"/>
        <item x="125"/>
        <item x="192"/>
        <item x="40"/>
        <item x="126"/>
        <item x="167"/>
        <item x="104"/>
        <item x="3"/>
        <item x="225"/>
        <item x="182"/>
        <item x="82"/>
        <item x="64"/>
        <item x="30"/>
        <item x="8"/>
        <item x="168"/>
        <item x="210"/>
        <item x="151"/>
        <item x="138"/>
        <item x="38"/>
        <item x="184"/>
        <item x="90"/>
        <item x="235"/>
        <item x="244"/>
        <item x="132"/>
        <item x="199"/>
        <item x="21"/>
        <item x="44"/>
        <item x="237"/>
        <item x="89"/>
        <item x="231"/>
        <item x="58"/>
        <item x="194"/>
        <item x="120"/>
        <item x="195"/>
        <item x="220"/>
        <item x="29"/>
        <item x="133"/>
        <item x="103"/>
        <item x="159"/>
        <item x="0"/>
        <item x="137"/>
        <item x="191"/>
        <item x="24"/>
        <item x="239"/>
        <item x="197"/>
        <item x="100"/>
        <item x="230"/>
        <item x="233"/>
        <item x="140"/>
        <item x="144"/>
        <item x="85"/>
        <item x="214"/>
        <item x="109"/>
        <item x="147"/>
        <item x="83"/>
        <item x="59"/>
        <item x="19"/>
        <item x="22"/>
        <item x="174"/>
        <item x="93"/>
        <item x="32"/>
        <item t="default"/>
      </items>
    </pivotField>
    <pivotField showAll="0"/>
    <pivotField showAll="0"/>
  </pivotFields>
  <rowFields count="1">
    <field x="0"/>
  </rowFields>
  <rowItems count="8">
    <i>
      <x/>
    </i>
    <i>
      <x v="1"/>
    </i>
    <i>
      <x v="2"/>
    </i>
    <i>
      <x v="3"/>
    </i>
    <i>
      <x v="4"/>
    </i>
    <i>
      <x v="5"/>
    </i>
    <i>
      <x v="6"/>
    </i>
    <i>
      <x v="7"/>
    </i>
  </rowItems>
  <colFields count="1">
    <field x="-2"/>
  </colFields>
  <colItems count="2">
    <i>
      <x/>
    </i>
    <i i="1">
      <x v="1"/>
    </i>
  </colItems>
  <dataFields count="2">
    <dataField name="Average of Branch Performance Index" fld="15" subtotal="average" baseField="0" baseItem="0" numFmtId="2"/>
    <dataField name="Average of Market Share (%)" fld="7" subtotal="average" baseField="0" baseItem="0" numFmtId="164"/>
  </dataFields>
  <formats count="2">
    <format dxfId="3">
      <pivotArea dataOnly="0" labelOnly="1" outline="0" fieldPosition="0">
        <references count="1">
          <reference field="4294967294" count="1">
            <x v="1"/>
          </reference>
        </references>
      </pivotArea>
    </format>
    <format dxfId="2">
      <pivotArea dataOnly="0" labelOnly="1" outline="0" fieldPosition="0">
        <references count="1">
          <reference field="4294967294" count="1">
            <x v="0"/>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3EDFF-5768-4A0D-91A2-60EDC9AE5345}" name="pdtvspo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17:G24" firstHeaderRow="1" firstDataRow="1" firstDataCol="1"/>
  <pivotFields count="18">
    <pivotField showAll="0"/>
    <pivotField axis="axisRow" showAll="0">
      <items count="7">
        <item x="2"/>
        <item x="3"/>
        <item x="5"/>
        <item x="4"/>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Policies Sold" fld="3" baseField="0" baseItem="0"/>
  </dataFields>
  <chartFormats count="49">
    <chartFormat chart="20" format="151" series="1">
      <pivotArea type="data" outline="0" fieldPosition="0">
        <references count="1">
          <reference field="4294967294" count="1" selected="0">
            <x v="0"/>
          </reference>
        </references>
      </pivotArea>
    </chartFormat>
    <chartFormat chart="20" format="152">
      <pivotArea type="data" outline="0" fieldPosition="0">
        <references count="2">
          <reference field="4294967294" count="1" selected="0">
            <x v="0"/>
          </reference>
          <reference field="1" count="1" selected="0">
            <x v="0"/>
          </reference>
        </references>
      </pivotArea>
    </chartFormat>
    <chartFormat chart="20" format="153">
      <pivotArea type="data" outline="0" fieldPosition="0">
        <references count="2">
          <reference field="4294967294" count="1" selected="0">
            <x v="0"/>
          </reference>
          <reference field="1" count="1" selected="0">
            <x v="1"/>
          </reference>
        </references>
      </pivotArea>
    </chartFormat>
    <chartFormat chart="20" format="154">
      <pivotArea type="data" outline="0" fieldPosition="0">
        <references count="2">
          <reference field="4294967294" count="1" selected="0">
            <x v="0"/>
          </reference>
          <reference field="1" count="1" selected="0">
            <x v="2"/>
          </reference>
        </references>
      </pivotArea>
    </chartFormat>
    <chartFormat chart="20" format="155">
      <pivotArea type="data" outline="0" fieldPosition="0">
        <references count="2">
          <reference field="4294967294" count="1" selected="0">
            <x v="0"/>
          </reference>
          <reference field="1" count="1" selected="0">
            <x v="3"/>
          </reference>
        </references>
      </pivotArea>
    </chartFormat>
    <chartFormat chart="20" format="156">
      <pivotArea type="data" outline="0" fieldPosition="0">
        <references count="2">
          <reference field="4294967294" count="1" selected="0">
            <x v="0"/>
          </reference>
          <reference field="1" count="1" selected="0">
            <x v="4"/>
          </reference>
        </references>
      </pivotArea>
    </chartFormat>
    <chartFormat chart="20" format="157">
      <pivotArea type="data" outline="0" fieldPosition="0">
        <references count="2">
          <reference field="4294967294" count="1" selected="0">
            <x v="0"/>
          </reference>
          <reference field="1" count="1" selected="0">
            <x v="5"/>
          </reference>
        </references>
      </pivotArea>
    </chartFormat>
    <chartFormat chart="23" format="151" series="1">
      <pivotArea type="data" outline="0" fieldPosition="0">
        <references count="1">
          <reference field="4294967294" count="1" selected="0">
            <x v="0"/>
          </reference>
        </references>
      </pivotArea>
    </chartFormat>
    <chartFormat chart="23" format="152">
      <pivotArea type="data" outline="0" fieldPosition="0">
        <references count="2">
          <reference field="4294967294" count="1" selected="0">
            <x v="0"/>
          </reference>
          <reference field="1" count="1" selected="0">
            <x v="0"/>
          </reference>
        </references>
      </pivotArea>
    </chartFormat>
    <chartFormat chart="23" format="153">
      <pivotArea type="data" outline="0" fieldPosition="0">
        <references count="2">
          <reference field="4294967294" count="1" selected="0">
            <x v="0"/>
          </reference>
          <reference field="1" count="1" selected="0">
            <x v="1"/>
          </reference>
        </references>
      </pivotArea>
    </chartFormat>
    <chartFormat chart="23" format="154">
      <pivotArea type="data" outline="0" fieldPosition="0">
        <references count="2">
          <reference field="4294967294" count="1" selected="0">
            <x v="0"/>
          </reference>
          <reference field="1" count="1" selected="0">
            <x v="2"/>
          </reference>
        </references>
      </pivotArea>
    </chartFormat>
    <chartFormat chart="23" format="155">
      <pivotArea type="data" outline="0" fieldPosition="0">
        <references count="2">
          <reference field="4294967294" count="1" selected="0">
            <x v="0"/>
          </reference>
          <reference field="1" count="1" selected="0">
            <x v="3"/>
          </reference>
        </references>
      </pivotArea>
    </chartFormat>
    <chartFormat chart="23" format="156">
      <pivotArea type="data" outline="0" fieldPosition="0">
        <references count="2">
          <reference field="4294967294" count="1" selected="0">
            <x v="0"/>
          </reference>
          <reference field="1" count="1" selected="0">
            <x v="4"/>
          </reference>
        </references>
      </pivotArea>
    </chartFormat>
    <chartFormat chart="23" format="157">
      <pivotArea type="data" outline="0" fieldPosition="0">
        <references count="2">
          <reference field="4294967294" count="1" selected="0">
            <x v="0"/>
          </reference>
          <reference field="1" count="1" selected="0">
            <x v="5"/>
          </reference>
        </references>
      </pivotArea>
    </chartFormat>
    <chartFormat chart="24" format="158" series="1">
      <pivotArea type="data" outline="0" fieldPosition="0">
        <references count="1">
          <reference field="4294967294" count="1" selected="0">
            <x v="0"/>
          </reference>
        </references>
      </pivotArea>
    </chartFormat>
    <chartFormat chart="24" format="159">
      <pivotArea type="data" outline="0" fieldPosition="0">
        <references count="2">
          <reference field="4294967294" count="1" selected="0">
            <x v="0"/>
          </reference>
          <reference field="1" count="1" selected="0">
            <x v="0"/>
          </reference>
        </references>
      </pivotArea>
    </chartFormat>
    <chartFormat chart="24" format="160">
      <pivotArea type="data" outline="0" fieldPosition="0">
        <references count="2">
          <reference field="4294967294" count="1" selected="0">
            <x v="0"/>
          </reference>
          <reference field="1" count="1" selected="0">
            <x v="1"/>
          </reference>
        </references>
      </pivotArea>
    </chartFormat>
    <chartFormat chart="24" format="161">
      <pivotArea type="data" outline="0" fieldPosition="0">
        <references count="2">
          <reference field="4294967294" count="1" selected="0">
            <x v="0"/>
          </reference>
          <reference field="1" count="1" selected="0">
            <x v="2"/>
          </reference>
        </references>
      </pivotArea>
    </chartFormat>
    <chartFormat chart="24" format="162">
      <pivotArea type="data" outline="0" fieldPosition="0">
        <references count="2">
          <reference field="4294967294" count="1" selected="0">
            <x v="0"/>
          </reference>
          <reference field="1" count="1" selected="0">
            <x v="3"/>
          </reference>
        </references>
      </pivotArea>
    </chartFormat>
    <chartFormat chart="24" format="163">
      <pivotArea type="data" outline="0" fieldPosition="0">
        <references count="2">
          <reference field="4294967294" count="1" selected="0">
            <x v="0"/>
          </reference>
          <reference field="1" count="1" selected="0">
            <x v="4"/>
          </reference>
        </references>
      </pivotArea>
    </chartFormat>
    <chartFormat chart="24" format="164">
      <pivotArea type="data" outline="0" fieldPosition="0">
        <references count="2">
          <reference field="4294967294" count="1" selected="0">
            <x v="0"/>
          </reference>
          <reference field="1" count="1" selected="0">
            <x v="5"/>
          </reference>
        </references>
      </pivotArea>
    </chartFormat>
    <chartFormat chart="27" format="165" series="1">
      <pivotArea type="data" outline="0" fieldPosition="0">
        <references count="1">
          <reference field="4294967294" count="1" selected="0">
            <x v="0"/>
          </reference>
        </references>
      </pivotArea>
    </chartFormat>
    <chartFormat chart="27" format="166">
      <pivotArea type="data" outline="0" fieldPosition="0">
        <references count="2">
          <reference field="4294967294" count="1" selected="0">
            <x v="0"/>
          </reference>
          <reference field="1" count="1" selected="0">
            <x v="0"/>
          </reference>
        </references>
      </pivotArea>
    </chartFormat>
    <chartFormat chart="27" format="167">
      <pivotArea type="data" outline="0" fieldPosition="0">
        <references count="2">
          <reference field="4294967294" count="1" selected="0">
            <x v="0"/>
          </reference>
          <reference field="1" count="1" selected="0">
            <x v="1"/>
          </reference>
        </references>
      </pivotArea>
    </chartFormat>
    <chartFormat chart="27" format="168">
      <pivotArea type="data" outline="0" fieldPosition="0">
        <references count="2">
          <reference field="4294967294" count="1" selected="0">
            <x v="0"/>
          </reference>
          <reference field="1" count="1" selected="0">
            <x v="2"/>
          </reference>
        </references>
      </pivotArea>
    </chartFormat>
    <chartFormat chart="27" format="169">
      <pivotArea type="data" outline="0" fieldPosition="0">
        <references count="2">
          <reference field="4294967294" count="1" selected="0">
            <x v="0"/>
          </reference>
          <reference field="1" count="1" selected="0">
            <x v="3"/>
          </reference>
        </references>
      </pivotArea>
    </chartFormat>
    <chartFormat chart="27" format="170">
      <pivotArea type="data" outline="0" fieldPosition="0">
        <references count="2">
          <reference field="4294967294" count="1" selected="0">
            <x v="0"/>
          </reference>
          <reference field="1" count="1" selected="0">
            <x v="4"/>
          </reference>
        </references>
      </pivotArea>
    </chartFormat>
    <chartFormat chart="27" format="171">
      <pivotArea type="data" outline="0" fieldPosition="0">
        <references count="2">
          <reference field="4294967294" count="1" selected="0">
            <x v="0"/>
          </reference>
          <reference field="1" count="1" selected="0">
            <x v="5"/>
          </reference>
        </references>
      </pivotArea>
    </chartFormat>
    <chartFormat chart="28" format="144" series="1">
      <pivotArea type="data" outline="0" fieldPosition="0">
        <references count="1">
          <reference field="4294967294" count="1" selected="0">
            <x v="0"/>
          </reference>
        </references>
      </pivotArea>
    </chartFormat>
    <chartFormat chart="28" format="145">
      <pivotArea type="data" outline="0" fieldPosition="0">
        <references count="2">
          <reference field="4294967294" count="1" selected="0">
            <x v="0"/>
          </reference>
          <reference field="1" count="1" selected="0">
            <x v="0"/>
          </reference>
        </references>
      </pivotArea>
    </chartFormat>
    <chartFormat chart="28" format="146">
      <pivotArea type="data" outline="0" fieldPosition="0">
        <references count="2">
          <reference field="4294967294" count="1" selected="0">
            <x v="0"/>
          </reference>
          <reference field="1" count="1" selected="0">
            <x v="1"/>
          </reference>
        </references>
      </pivotArea>
    </chartFormat>
    <chartFormat chart="28" format="147">
      <pivotArea type="data" outline="0" fieldPosition="0">
        <references count="2">
          <reference field="4294967294" count="1" selected="0">
            <x v="0"/>
          </reference>
          <reference field="1" count="1" selected="0">
            <x v="2"/>
          </reference>
        </references>
      </pivotArea>
    </chartFormat>
    <chartFormat chart="28" format="148">
      <pivotArea type="data" outline="0" fieldPosition="0">
        <references count="2">
          <reference field="4294967294" count="1" selected="0">
            <x v="0"/>
          </reference>
          <reference field="1" count="1" selected="0">
            <x v="3"/>
          </reference>
        </references>
      </pivotArea>
    </chartFormat>
    <chartFormat chart="28" format="149">
      <pivotArea type="data" outline="0" fieldPosition="0">
        <references count="2">
          <reference field="4294967294" count="1" selected="0">
            <x v="0"/>
          </reference>
          <reference field="1" count="1" selected="0">
            <x v="4"/>
          </reference>
        </references>
      </pivotArea>
    </chartFormat>
    <chartFormat chart="28" format="150">
      <pivotArea type="data" outline="0" fieldPosition="0">
        <references count="2">
          <reference field="4294967294" count="1" selected="0">
            <x v="0"/>
          </reference>
          <reference field="1" count="1" selected="0">
            <x v="5"/>
          </reference>
        </references>
      </pivotArea>
    </chartFormat>
    <chartFormat chart="29" format="151" series="1">
      <pivotArea type="data" outline="0" fieldPosition="0">
        <references count="1">
          <reference field="4294967294" count="1" selected="0">
            <x v="0"/>
          </reference>
        </references>
      </pivotArea>
    </chartFormat>
    <chartFormat chart="29" format="152">
      <pivotArea type="data" outline="0" fieldPosition="0">
        <references count="2">
          <reference field="4294967294" count="1" selected="0">
            <x v="0"/>
          </reference>
          <reference field="1" count="1" selected="0">
            <x v="0"/>
          </reference>
        </references>
      </pivotArea>
    </chartFormat>
    <chartFormat chart="29" format="153">
      <pivotArea type="data" outline="0" fieldPosition="0">
        <references count="2">
          <reference field="4294967294" count="1" selected="0">
            <x v="0"/>
          </reference>
          <reference field="1" count="1" selected="0">
            <x v="1"/>
          </reference>
        </references>
      </pivotArea>
    </chartFormat>
    <chartFormat chart="29" format="154">
      <pivotArea type="data" outline="0" fieldPosition="0">
        <references count="2">
          <reference field="4294967294" count="1" selected="0">
            <x v="0"/>
          </reference>
          <reference field="1" count="1" selected="0">
            <x v="2"/>
          </reference>
        </references>
      </pivotArea>
    </chartFormat>
    <chartFormat chart="29" format="155">
      <pivotArea type="data" outline="0" fieldPosition="0">
        <references count="2">
          <reference field="4294967294" count="1" selected="0">
            <x v="0"/>
          </reference>
          <reference field="1" count="1" selected="0">
            <x v="3"/>
          </reference>
        </references>
      </pivotArea>
    </chartFormat>
    <chartFormat chart="29" format="156">
      <pivotArea type="data" outline="0" fieldPosition="0">
        <references count="2">
          <reference field="4294967294" count="1" selected="0">
            <x v="0"/>
          </reference>
          <reference field="1" count="1" selected="0">
            <x v="4"/>
          </reference>
        </references>
      </pivotArea>
    </chartFormat>
    <chartFormat chart="29" format="157">
      <pivotArea type="data" outline="0" fieldPosition="0">
        <references count="2">
          <reference field="4294967294" count="1" selected="0">
            <x v="0"/>
          </reference>
          <reference field="1" count="1" selected="0">
            <x v="5"/>
          </reference>
        </references>
      </pivotArea>
    </chartFormat>
    <chartFormat chart="3" format="158" series="1">
      <pivotArea type="data" outline="0" fieldPosition="0">
        <references count="1">
          <reference field="4294967294" count="1" selected="0">
            <x v="0"/>
          </reference>
        </references>
      </pivotArea>
    </chartFormat>
    <chartFormat chart="3" format="159">
      <pivotArea type="data" outline="0" fieldPosition="0">
        <references count="2">
          <reference field="4294967294" count="1" selected="0">
            <x v="0"/>
          </reference>
          <reference field="1" count="1" selected="0">
            <x v="0"/>
          </reference>
        </references>
      </pivotArea>
    </chartFormat>
    <chartFormat chart="3" format="160">
      <pivotArea type="data" outline="0" fieldPosition="0">
        <references count="2">
          <reference field="4294967294" count="1" selected="0">
            <x v="0"/>
          </reference>
          <reference field="1" count="1" selected="0">
            <x v="1"/>
          </reference>
        </references>
      </pivotArea>
    </chartFormat>
    <chartFormat chart="3" format="161">
      <pivotArea type="data" outline="0" fieldPosition="0">
        <references count="2">
          <reference field="4294967294" count="1" selected="0">
            <x v="0"/>
          </reference>
          <reference field="1" count="1" selected="0">
            <x v="2"/>
          </reference>
        </references>
      </pivotArea>
    </chartFormat>
    <chartFormat chart="3" format="162">
      <pivotArea type="data" outline="0" fieldPosition="0">
        <references count="2">
          <reference field="4294967294" count="1" selected="0">
            <x v="0"/>
          </reference>
          <reference field="1" count="1" selected="0">
            <x v="3"/>
          </reference>
        </references>
      </pivotArea>
    </chartFormat>
    <chartFormat chart="3" format="163">
      <pivotArea type="data" outline="0" fieldPosition="0">
        <references count="2">
          <reference field="4294967294" count="1" selected="0">
            <x v="0"/>
          </reference>
          <reference field="1" count="1" selected="0">
            <x v="4"/>
          </reference>
        </references>
      </pivotArea>
    </chartFormat>
    <chartFormat chart="3" format="16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8F1FE3-543A-4690-8D5C-2DFBB63003A3}" name="mon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K15" firstHeaderRow="0" firstDataRow="1" firstDataCol="1"/>
  <pivotFields count="18">
    <pivotField showAll="0"/>
    <pivotField showAll="0"/>
    <pivotField axis="axisRow" showAll="0">
      <items count="13">
        <item x="10"/>
        <item x="8"/>
        <item x="6"/>
        <item x="2"/>
        <item x="4"/>
        <item x="5"/>
        <item x="7"/>
        <item x="9"/>
        <item x="11"/>
        <item x="3"/>
        <item x="0"/>
        <item x="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remium Collected (in Lakhs)" fld="4" baseField="0" baseItem="0"/>
    <dataField name="Sum of Claims Settled" fld="5" baseField="0" baseItem="0"/>
  </dataFields>
  <chartFormats count="1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 chart="3" format="10">
      <pivotArea type="data" outline="0" fieldPosition="0">
        <references count="2">
          <reference field="4294967294" count="1" selected="0">
            <x v="0"/>
          </reference>
          <reference field="2" count="1" selected="0">
            <x v="4"/>
          </reference>
        </references>
      </pivotArea>
    </chartFormat>
    <chartFormat chart="3" format="11">
      <pivotArea type="data" outline="0" fieldPosition="0">
        <references count="2">
          <reference field="4294967294" count="1" selected="0">
            <x v="0"/>
          </reference>
          <reference field="2" count="1" selected="0">
            <x v="5"/>
          </reference>
        </references>
      </pivotArea>
    </chartFormat>
    <chartFormat chart="3" format="12">
      <pivotArea type="data" outline="0" fieldPosition="0">
        <references count="2">
          <reference field="4294967294" count="1" selected="0">
            <x v="0"/>
          </reference>
          <reference field="2" count="1" selected="0">
            <x v="9"/>
          </reference>
        </references>
      </pivotArea>
    </chartFormat>
    <chartFormat chart="3" format="13">
      <pivotArea type="data" outline="0" fieldPosition="0">
        <references count="2">
          <reference field="4294967294" count="1" selected="0">
            <x v="0"/>
          </reference>
          <reference field="2" count="1" selected="0">
            <x v="10"/>
          </reference>
        </references>
      </pivotArea>
    </chartFormat>
    <chartFormat chart="3" format="14">
      <pivotArea type="data" outline="0" fieldPosition="0">
        <references count="2">
          <reference field="4294967294" count="1" selected="0">
            <x v="0"/>
          </reference>
          <reference field="2" count="1" selected="0">
            <x v="11"/>
          </reference>
        </references>
      </pivotArea>
    </chartFormat>
    <chartFormat chart="3" format="15">
      <pivotArea type="data" outline="0" fieldPosition="0">
        <references count="2">
          <reference field="4294967294" count="1" selected="0">
            <x v="1"/>
          </reference>
          <reference field="2" count="1" selected="0">
            <x v="2"/>
          </reference>
        </references>
      </pivotArea>
    </chartFormat>
    <chartFormat chart="3" format="16">
      <pivotArea type="data" outline="0" fieldPosition="0">
        <references count="2">
          <reference field="4294967294" count="1" selected="0">
            <x v="1"/>
          </reference>
          <reference field="2" count="1" selected="0">
            <x v="4"/>
          </reference>
        </references>
      </pivotArea>
    </chartFormat>
    <chartFormat chart="3" format="17">
      <pivotArea type="data" outline="0" fieldPosition="0">
        <references count="2">
          <reference field="4294967294" count="1" selected="0">
            <x v="1"/>
          </reference>
          <reference field="2" count="1" selected="0">
            <x v="9"/>
          </reference>
        </references>
      </pivotArea>
    </chartFormat>
    <chartFormat chart="3" format="18">
      <pivotArea type="data" outline="0" fieldPosition="0">
        <references count="2">
          <reference field="4294967294" count="1" selected="0">
            <x v="1"/>
          </reference>
          <reference field="2" count="1" selected="0">
            <x v="8"/>
          </reference>
        </references>
      </pivotArea>
    </chartFormat>
    <chartFormat chart="3" format="19">
      <pivotArea type="data" outline="0" fieldPosition="0">
        <references count="2">
          <reference field="4294967294" count="1" selected="0">
            <x v="1"/>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A1E22E-8060-46E8-96C0-622DBA5598B8}" name="agent_contri"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F2:G10" firstHeaderRow="1" firstDataRow="1" firstDataCol="1"/>
  <pivotFields count="18">
    <pivotField axis="axisRow" showAll="0">
      <items count="9">
        <item x="1"/>
        <item x="5"/>
        <item x="3"/>
        <item x="2"/>
        <item x="6"/>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4">
        <item x="102"/>
        <item x="140"/>
        <item x="127"/>
        <item x="13"/>
        <item x="210"/>
        <item x="206"/>
        <item x="218"/>
        <item x="182"/>
        <item x="83"/>
        <item x="215"/>
        <item x="222"/>
        <item x="139"/>
        <item x="12"/>
        <item x="39"/>
        <item x="0"/>
        <item x="115"/>
        <item x="51"/>
        <item x="73"/>
        <item x="211"/>
        <item x="196"/>
        <item x="219"/>
        <item x="200"/>
        <item x="57"/>
        <item x="90"/>
        <item x="69"/>
        <item x="195"/>
        <item x="108"/>
        <item x="35"/>
        <item x="207"/>
        <item x="104"/>
        <item x="9"/>
        <item x="36"/>
        <item x="163"/>
        <item x="194"/>
        <item x="26"/>
        <item x="31"/>
        <item x="142"/>
        <item x="148"/>
        <item x="162"/>
        <item x="126"/>
        <item x="43"/>
        <item x="54"/>
        <item x="161"/>
        <item x="40"/>
        <item x="62"/>
        <item x="2"/>
        <item x="92"/>
        <item x="187"/>
        <item x="177"/>
        <item x="176"/>
        <item x="133"/>
        <item x="93"/>
        <item x="186"/>
        <item x="25"/>
        <item x="154"/>
        <item x="15"/>
        <item x="180"/>
        <item x="212"/>
        <item x="137"/>
        <item x="208"/>
        <item x="138"/>
        <item x="214"/>
        <item x="160"/>
        <item x="89"/>
        <item x="52"/>
        <item x="122"/>
        <item x="17"/>
        <item x="164"/>
        <item x="107"/>
        <item x="80"/>
        <item x="114"/>
        <item x="203"/>
        <item x="171"/>
        <item x="192"/>
        <item x="24"/>
        <item x="87"/>
        <item x="72"/>
        <item x="59"/>
        <item x="125"/>
        <item x="61"/>
        <item x="46"/>
        <item x="128"/>
        <item x="28"/>
        <item x="58"/>
        <item x="175"/>
        <item x="166"/>
        <item x="67"/>
        <item x="172"/>
        <item x="199"/>
        <item x="106"/>
        <item x="38"/>
        <item x="91"/>
        <item x="129"/>
        <item x="143"/>
        <item x="221"/>
        <item x="70"/>
        <item x="20"/>
        <item x="101"/>
        <item x="173"/>
        <item x="75"/>
        <item x="150"/>
        <item x="179"/>
        <item x="168"/>
        <item x="198"/>
        <item x="22"/>
        <item x="14"/>
        <item x="105"/>
        <item x="44"/>
        <item x="100"/>
        <item x="88"/>
        <item x="121"/>
        <item x="144"/>
        <item x="119"/>
        <item x="60"/>
        <item x="82"/>
        <item x="4"/>
        <item x="189"/>
        <item x="190"/>
        <item x="174"/>
        <item x="68"/>
        <item x="77"/>
        <item x="131"/>
        <item x="8"/>
        <item x="183"/>
        <item x="202"/>
        <item x="157"/>
        <item x="155"/>
        <item x="151"/>
        <item x="42"/>
        <item x="156"/>
        <item x="169"/>
        <item x="205"/>
        <item x="50"/>
        <item x="74"/>
        <item x="55"/>
        <item x="32"/>
        <item x="193"/>
        <item x="65"/>
        <item x="184"/>
        <item x="30"/>
        <item x="113"/>
        <item x="45"/>
        <item x="79"/>
        <item x="136"/>
        <item x="76"/>
        <item x="1"/>
        <item x="11"/>
        <item x="116"/>
        <item x="37"/>
        <item x="134"/>
        <item x="120"/>
        <item x="110"/>
        <item x="153"/>
        <item x="123"/>
        <item x="217"/>
        <item x="170"/>
        <item x="103"/>
        <item x="118"/>
        <item x="147"/>
        <item x="149"/>
        <item x="132"/>
        <item x="5"/>
        <item x="98"/>
        <item x="145"/>
        <item x="97"/>
        <item x="201"/>
        <item x="6"/>
        <item x="16"/>
        <item x="124"/>
        <item x="216"/>
        <item x="27"/>
        <item x="71"/>
        <item x="204"/>
        <item x="7"/>
        <item x="213"/>
        <item x="96"/>
        <item x="141"/>
        <item x="112"/>
        <item x="167"/>
        <item x="84"/>
        <item x="94"/>
        <item x="159"/>
        <item x="18"/>
        <item x="66"/>
        <item x="23"/>
        <item x="78"/>
        <item x="64"/>
        <item x="3"/>
        <item x="29"/>
        <item x="185"/>
        <item x="34"/>
        <item x="81"/>
        <item x="48"/>
        <item x="158"/>
        <item x="56"/>
        <item x="178"/>
        <item x="220"/>
        <item x="10"/>
        <item x="135"/>
        <item x="209"/>
        <item x="47"/>
        <item x="188"/>
        <item x="130"/>
        <item x="109"/>
        <item x="95"/>
        <item x="117"/>
        <item x="41"/>
        <item x="111"/>
        <item x="165"/>
        <item x="53"/>
        <item x="33"/>
        <item x="63"/>
        <item x="86"/>
        <item x="85"/>
        <item x="191"/>
        <item x="21"/>
        <item x="152"/>
        <item x="99"/>
        <item x="197"/>
        <item x="146"/>
        <item x="19"/>
        <item x="49"/>
        <item x="181"/>
        <item t="default"/>
      </items>
    </pivotField>
    <pivotField showAll="0"/>
    <pivotField showAll="0"/>
    <pivotField showAll="0"/>
  </pivotFields>
  <rowFields count="1">
    <field x="0"/>
  </rowFields>
  <rowItems count="8">
    <i>
      <x/>
    </i>
    <i>
      <x v="1"/>
    </i>
    <i>
      <x v="2"/>
    </i>
    <i>
      <x v="3"/>
    </i>
    <i>
      <x v="4"/>
    </i>
    <i>
      <x v="5"/>
    </i>
    <i>
      <x v="6"/>
    </i>
    <i>
      <x v="7"/>
    </i>
  </rowItems>
  <colItems count="1">
    <i/>
  </colItems>
  <dataFields count="1">
    <dataField name="Sum of Agent Count" fld="14" baseField="0" baseItem="0"/>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3" format="16">
      <pivotArea type="data" outline="0" fieldPosition="0">
        <references count="2">
          <reference field="4294967294" count="1" selected="0">
            <x v="0"/>
          </reference>
          <reference field="0" count="1" selected="0">
            <x v="5"/>
          </reference>
        </references>
      </pivotArea>
    </chartFormat>
    <chartFormat chart="3" format="17">
      <pivotArea type="data" outline="0" fieldPosition="0">
        <references count="2">
          <reference field="4294967294" count="1" selected="0">
            <x v="0"/>
          </reference>
          <reference field="0" count="1" selected="0">
            <x v="6"/>
          </reference>
        </references>
      </pivotArea>
    </chartFormat>
    <chartFormat chart="3" format="18">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292F9DF-D66F-4EC9-A69E-33388EC487DB}" sourceName="Branch">
  <pivotTables>
    <pivotTable tabId="2" name="claims_anly"/>
    <pivotTable tabId="2" name="agent_contri"/>
    <pivotTable tabId="2" name="renewal analysis"/>
  </pivotTables>
  <data>
    <tabular pivotCacheId="470257882">
      <items count="8">
        <i x="1" s="1"/>
        <i x="5" s="1"/>
        <i x="3" s="1"/>
        <i x="2" s="1"/>
        <i x="6" s="1"/>
        <i x="4"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2BEDFD4-5EF1-4904-9F7B-D57DAD4AD2D0}" sourceName="Product">
  <pivotTables>
    <pivotTable tabId="2" name="pdtvspol"/>
  </pivotTables>
  <data>
    <tabular pivotCacheId="470257882">
      <items count="6">
        <i x="2" s="1"/>
        <i x="3" s="1"/>
        <i x="5"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40E5DA2-1CAD-46B3-8AD9-0A4C9E18888B}" sourceName="Month">
  <pivotTables>
    <pivotTable tabId="2" name="mon_trend"/>
  </pivotTables>
  <data>
    <tabular pivotCacheId="470257882">
      <items count="12">
        <i x="10" s="1"/>
        <i x="8" s="1"/>
        <i x="6" s="1"/>
        <i x="2" s="1"/>
        <i x="4" s="1"/>
        <i x="5" s="1"/>
        <i x="7" s="1"/>
        <i x="9" s="1"/>
        <i x="11"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DCA76CBD-13E1-45E2-92B8-B63FBAF7144A}" cache="Slicer_Branch" caption="Branch" style="Slicer Style 1" rowHeight="576000"/>
  <slicer name="Product" xr10:uid="{18ACFD94-B138-477B-B742-EA56A7CF8EE4}" cache="Slicer_Product" caption="Product" style="Slicer Style 1" rowHeight="540000"/>
  <slicer name="Month" xr10:uid="{59D851A9-2F0B-4F5E-992C-2BCF1CBBFA90}" cache="Slicer_Month" caption="Month" columnCount="2" style="Slicer Style 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AC9110-9EEC-475E-AC28-190A1D3A024F}" name="Table1" displayName="Table1" ref="A1:P301" totalsRowShown="0">
  <autoFilter ref="A1:P301" xr:uid="{E1AC9110-9EEC-475E-AC28-190A1D3A024F}"/>
  <tableColumns count="16">
    <tableColumn id="1" xr3:uid="{44D9AAA8-7D43-4A2E-8FE9-F2106B42E4CC}" name="Branch"/>
    <tableColumn id="2" xr3:uid="{BC433448-0FA4-4657-9479-512D879257D8}" name="Product"/>
    <tableColumn id="3" xr3:uid="{8E7205D7-099F-41D9-AE94-411F734EDDF6}" name="Month"/>
    <tableColumn id="4" xr3:uid="{B95524FC-D047-488B-BAD0-DFA89293E708}" name="Policies Sold"/>
    <tableColumn id="5" xr3:uid="{7C6EF05B-F98F-495D-B11D-15DECB768B8E}" name="Premium Collected (in Lakhs)"/>
    <tableColumn id="6" xr3:uid="{5BBAA457-1CF1-4302-BF65-86809008F76E}" name="Claims Settled"/>
    <tableColumn id="7" xr3:uid="{A67796CC-CEC4-4B82-81BE-3269F0A4D8F4}" name="Claims Amount Paid (in Lakhs)"/>
    <tableColumn id="8" xr3:uid="{EB6EB80D-4AC7-498A-86AE-5B1A3FCF0EC3}" name="Market Share (%)"/>
    <tableColumn id="9" xr3:uid="{8B8E7C54-4583-4827-A5D9-E6FFAF2FD166}" name="Performance Rating"/>
    <tableColumn id="10" xr3:uid="{230F9E06-16CE-45CA-AF3F-DEBFBA4FB18C}" name="Renewal Policies Sold"/>
    <tableColumn id="11" xr3:uid="{391C4449-DDF7-4E53-879F-972F8727BB99}" name="Renewal Premium Collected (in Lakhs)"/>
    <tableColumn id="12" xr3:uid="{5945CDBB-17C1-4180-91E9-1D6A9C7C1876}" name="New Customers Acquired"/>
    <tableColumn id="13" xr3:uid="{1079673A-D5A6-4F15-988B-3741090A259B}" name="Customer Retention Rate (%)"/>
    <tableColumn id="14" xr3:uid="{193FE340-486F-4C65-B7B4-710B93503632}" name="Claim Settlement Ratio (%)"/>
    <tableColumn id="15" xr3:uid="{D9BAAB45-5510-4638-86EC-2A1729B5CDAC}" name="Agent Count"/>
    <tableColumn id="16" xr3:uid="{170D4A69-67FE-430A-B92A-010B9E9A358F}" name="Branch Performance Index"/>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Custom 1">
      <a:dk1>
        <a:sysClr val="windowText" lastClr="000000"/>
      </a:dk1>
      <a:lt1>
        <a:sysClr val="window" lastClr="FFFFFF"/>
      </a:lt1>
      <a:dk2>
        <a:srgbClr val="355071"/>
      </a:dk2>
      <a:lt2>
        <a:srgbClr val="AABED7"/>
      </a:lt2>
      <a:accent1>
        <a:srgbClr val="1A2838"/>
      </a:accent1>
      <a:accent2>
        <a:srgbClr val="82C7F4"/>
      </a:accent2>
      <a:accent3>
        <a:srgbClr val="86C157"/>
      </a:accent3>
      <a:accent4>
        <a:srgbClr val="1F6A59"/>
      </a:accent4>
      <a:accent5>
        <a:srgbClr val="639938"/>
      </a:accent5>
      <a:accent6>
        <a:srgbClr val="286994"/>
      </a:accent6>
      <a:hlink>
        <a:srgbClr val="56BCFE"/>
      </a:hlink>
      <a:folHlink>
        <a:srgbClr val="D5ECFB"/>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2150D6-9271-4B7A-9C59-1BD6D03DAD56}">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5AE1-9EC8-48C6-A02F-6021F2C407E1}">
  <dimension ref="A1:P301"/>
  <sheetViews>
    <sheetView topLeftCell="A19" workbookViewId="0">
      <selection activeCell="M282" sqref="M282"/>
    </sheetView>
  </sheetViews>
  <sheetFormatPr defaultRowHeight="13.8" x14ac:dyDescent="0.25"/>
  <cols>
    <col min="1" max="1" width="14.69921875" customWidth="1"/>
    <col min="2" max="2" width="15" customWidth="1"/>
    <col min="3" max="3" width="11.69921875" customWidth="1"/>
    <col min="4" max="4" width="13.09765625" customWidth="1"/>
    <col min="5" max="5" width="27.296875" customWidth="1"/>
    <col min="6" max="6" width="14.59765625" customWidth="1"/>
    <col min="7" max="7" width="28.296875" customWidth="1"/>
    <col min="8" max="8" width="17.3984375" customWidth="1"/>
    <col min="9" max="9" width="19.5" customWidth="1"/>
    <col min="10" max="10" width="20.69921875" customWidth="1"/>
    <col min="11" max="11" width="34.796875" customWidth="1"/>
    <col min="12" max="12" width="23.8984375" customWidth="1"/>
    <col min="13" max="13" width="27" customWidth="1"/>
    <col min="14" max="14" width="25.09765625" customWidth="1"/>
    <col min="15" max="15" width="13.3984375" customWidth="1"/>
    <col min="16" max="16" width="25.09765625" customWidth="1"/>
    <col min="17" max="17" width="10.3984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v>837</v>
      </c>
      <c r="E2">
        <v>537.16999999999996</v>
      </c>
      <c r="F2">
        <v>358</v>
      </c>
      <c r="G2">
        <v>61.86</v>
      </c>
      <c r="H2">
        <v>27.57</v>
      </c>
      <c r="I2" t="s">
        <v>19</v>
      </c>
      <c r="J2">
        <v>963</v>
      </c>
      <c r="K2">
        <v>24.14</v>
      </c>
      <c r="L2">
        <v>66</v>
      </c>
      <c r="M2">
        <v>99.12</v>
      </c>
      <c r="N2">
        <v>90.94</v>
      </c>
      <c r="O2">
        <v>71</v>
      </c>
      <c r="P2">
        <v>9.23</v>
      </c>
    </row>
    <row r="3" spans="1:16" x14ac:dyDescent="0.25">
      <c r="A3" t="s">
        <v>20</v>
      </c>
      <c r="B3" t="s">
        <v>21</v>
      </c>
      <c r="C3" t="s">
        <v>22</v>
      </c>
      <c r="D3">
        <v>1110</v>
      </c>
      <c r="E3">
        <v>2209.1999999999998</v>
      </c>
      <c r="F3">
        <v>126</v>
      </c>
      <c r="G3">
        <v>42.11</v>
      </c>
      <c r="H3">
        <v>8.6300000000000008</v>
      </c>
      <c r="I3" t="s">
        <v>19</v>
      </c>
      <c r="J3">
        <v>299</v>
      </c>
      <c r="K3">
        <v>10.02</v>
      </c>
      <c r="L3">
        <v>266</v>
      </c>
      <c r="M3">
        <v>66.599999999999994</v>
      </c>
      <c r="N3">
        <v>81.56</v>
      </c>
      <c r="O3">
        <v>343</v>
      </c>
      <c r="P3">
        <v>3.11</v>
      </c>
    </row>
    <row r="4" spans="1:16" x14ac:dyDescent="0.25">
      <c r="A4" t="s">
        <v>20</v>
      </c>
      <c r="B4" t="s">
        <v>23</v>
      </c>
      <c r="C4" t="s">
        <v>24</v>
      </c>
      <c r="D4">
        <v>547</v>
      </c>
      <c r="E4">
        <v>959.91</v>
      </c>
      <c r="F4">
        <v>217</v>
      </c>
      <c r="G4">
        <v>324.36</v>
      </c>
      <c r="H4">
        <v>5.98</v>
      </c>
      <c r="I4" t="s">
        <v>25</v>
      </c>
      <c r="J4">
        <v>203</v>
      </c>
      <c r="K4">
        <v>17.66</v>
      </c>
      <c r="L4">
        <v>227</v>
      </c>
      <c r="M4">
        <v>75.64</v>
      </c>
      <c r="N4">
        <v>97.99</v>
      </c>
      <c r="O4">
        <v>124</v>
      </c>
      <c r="P4">
        <v>5.09</v>
      </c>
    </row>
    <row r="5" spans="1:16" x14ac:dyDescent="0.25">
      <c r="A5" t="s">
        <v>26</v>
      </c>
      <c r="B5" t="s">
        <v>27</v>
      </c>
      <c r="C5" t="s">
        <v>28</v>
      </c>
      <c r="D5">
        <v>925</v>
      </c>
      <c r="E5">
        <v>1733.65</v>
      </c>
      <c r="F5">
        <v>270</v>
      </c>
      <c r="G5">
        <v>215.91</v>
      </c>
      <c r="H5">
        <v>17.190000000000001</v>
      </c>
      <c r="I5" t="s">
        <v>29</v>
      </c>
      <c r="J5">
        <v>72</v>
      </c>
      <c r="K5">
        <v>30.94</v>
      </c>
      <c r="L5">
        <v>485</v>
      </c>
      <c r="M5">
        <v>64.16</v>
      </c>
      <c r="N5">
        <v>94.11</v>
      </c>
      <c r="O5">
        <v>418</v>
      </c>
      <c r="P5">
        <v>8.19</v>
      </c>
    </row>
    <row r="6" spans="1:16" x14ac:dyDescent="0.25">
      <c r="A6" t="s">
        <v>26</v>
      </c>
      <c r="B6" t="s">
        <v>23</v>
      </c>
      <c r="C6" t="s">
        <v>24</v>
      </c>
      <c r="D6">
        <v>680</v>
      </c>
      <c r="E6">
        <v>639.91999999999996</v>
      </c>
      <c r="F6">
        <v>430</v>
      </c>
      <c r="G6">
        <v>190.93</v>
      </c>
      <c r="H6">
        <v>18.079999999999998</v>
      </c>
      <c r="I6" t="s">
        <v>19</v>
      </c>
      <c r="J6">
        <v>927</v>
      </c>
      <c r="K6">
        <v>19.559999999999999</v>
      </c>
      <c r="L6">
        <v>105</v>
      </c>
      <c r="M6">
        <v>73</v>
      </c>
      <c r="N6">
        <v>81.14</v>
      </c>
      <c r="O6">
        <v>280</v>
      </c>
      <c r="P6">
        <v>7.88</v>
      </c>
    </row>
    <row r="7" spans="1:16" x14ac:dyDescent="0.25">
      <c r="A7" t="s">
        <v>26</v>
      </c>
      <c r="B7" t="s">
        <v>30</v>
      </c>
      <c r="C7" t="s">
        <v>28</v>
      </c>
      <c r="D7">
        <v>771</v>
      </c>
      <c r="E7">
        <v>1514.99</v>
      </c>
      <c r="F7">
        <v>205</v>
      </c>
      <c r="G7">
        <v>255.77</v>
      </c>
      <c r="H7">
        <v>11.73</v>
      </c>
      <c r="I7" t="s">
        <v>31</v>
      </c>
      <c r="J7">
        <v>931</v>
      </c>
      <c r="K7">
        <v>16.149999999999999</v>
      </c>
      <c r="L7">
        <v>199</v>
      </c>
      <c r="M7">
        <v>88.83</v>
      </c>
      <c r="N7">
        <v>93.93</v>
      </c>
      <c r="O7">
        <v>369</v>
      </c>
      <c r="P7">
        <v>1.51</v>
      </c>
    </row>
    <row r="8" spans="1:16" x14ac:dyDescent="0.25">
      <c r="A8" t="s">
        <v>20</v>
      </c>
      <c r="B8" t="s">
        <v>17</v>
      </c>
      <c r="C8" t="s">
        <v>32</v>
      </c>
      <c r="D8">
        <v>1432</v>
      </c>
      <c r="E8">
        <v>2616.12</v>
      </c>
      <c r="F8">
        <v>260</v>
      </c>
      <c r="G8">
        <v>280.58</v>
      </c>
      <c r="H8">
        <v>28.53</v>
      </c>
      <c r="I8" t="s">
        <v>31</v>
      </c>
      <c r="J8">
        <v>720</v>
      </c>
      <c r="K8">
        <v>24.92</v>
      </c>
      <c r="L8">
        <v>399</v>
      </c>
      <c r="M8">
        <v>51.66</v>
      </c>
      <c r="N8">
        <v>92.95</v>
      </c>
      <c r="O8">
        <v>381</v>
      </c>
      <c r="P8">
        <v>7.95</v>
      </c>
    </row>
    <row r="9" spans="1:16" x14ac:dyDescent="0.25">
      <c r="A9" t="s">
        <v>20</v>
      </c>
      <c r="B9" t="s">
        <v>33</v>
      </c>
      <c r="C9" t="s">
        <v>34</v>
      </c>
      <c r="D9">
        <v>490</v>
      </c>
      <c r="E9">
        <v>721.14</v>
      </c>
      <c r="F9">
        <v>37</v>
      </c>
      <c r="G9">
        <v>52.8</v>
      </c>
      <c r="H9">
        <v>29.95</v>
      </c>
      <c r="I9" t="s">
        <v>25</v>
      </c>
      <c r="J9">
        <v>154</v>
      </c>
      <c r="K9">
        <v>49</v>
      </c>
      <c r="L9">
        <v>243</v>
      </c>
      <c r="M9">
        <v>63.31</v>
      </c>
      <c r="N9">
        <v>89.89</v>
      </c>
      <c r="O9">
        <v>391</v>
      </c>
      <c r="P9">
        <v>4.99</v>
      </c>
    </row>
    <row r="10" spans="1:16" x14ac:dyDescent="0.25">
      <c r="A10" t="s">
        <v>16</v>
      </c>
      <c r="B10" t="s">
        <v>27</v>
      </c>
      <c r="C10" t="s">
        <v>35</v>
      </c>
      <c r="D10">
        <v>1336</v>
      </c>
      <c r="E10">
        <v>1368.51</v>
      </c>
      <c r="F10">
        <v>197</v>
      </c>
      <c r="G10">
        <v>145.16</v>
      </c>
      <c r="H10">
        <v>16.920000000000002</v>
      </c>
      <c r="I10" t="s">
        <v>31</v>
      </c>
      <c r="J10">
        <v>981</v>
      </c>
      <c r="K10">
        <v>13.34</v>
      </c>
      <c r="L10">
        <v>416</v>
      </c>
      <c r="M10">
        <v>53.18</v>
      </c>
      <c r="N10">
        <v>91.31</v>
      </c>
      <c r="O10">
        <v>295</v>
      </c>
      <c r="P10">
        <v>8.36</v>
      </c>
    </row>
    <row r="11" spans="1:16" x14ac:dyDescent="0.25">
      <c r="A11" t="s">
        <v>36</v>
      </c>
      <c r="B11" t="s">
        <v>21</v>
      </c>
      <c r="C11" t="s">
        <v>37</v>
      </c>
      <c r="D11">
        <v>1578</v>
      </c>
      <c r="E11">
        <v>2107.75</v>
      </c>
      <c r="F11">
        <v>497</v>
      </c>
      <c r="G11">
        <v>338.21</v>
      </c>
      <c r="H11">
        <v>28.92</v>
      </c>
      <c r="I11" t="s">
        <v>19</v>
      </c>
      <c r="J11">
        <v>950</v>
      </c>
      <c r="K11">
        <v>26.59</v>
      </c>
      <c r="L11">
        <v>339</v>
      </c>
      <c r="M11">
        <v>66.63</v>
      </c>
      <c r="N11">
        <v>97.33</v>
      </c>
      <c r="O11">
        <v>101</v>
      </c>
      <c r="P11">
        <v>1.23</v>
      </c>
    </row>
    <row r="12" spans="1:16" x14ac:dyDescent="0.25">
      <c r="A12" t="s">
        <v>38</v>
      </c>
      <c r="B12" t="s">
        <v>23</v>
      </c>
      <c r="C12" t="s">
        <v>34</v>
      </c>
      <c r="D12">
        <v>846</v>
      </c>
      <c r="E12">
        <v>1100.4000000000001</v>
      </c>
      <c r="F12">
        <v>429</v>
      </c>
      <c r="G12">
        <v>220.09</v>
      </c>
      <c r="H12">
        <v>27.58</v>
      </c>
      <c r="I12" t="s">
        <v>25</v>
      </c>
      <c r="J12">
        <v>733</v>
      </c>
      <c r="K12">
        <v>25.92</v>
      </c>
      <c r="L12">
        <v>314</v>
      </c>
      <c r="M12">
        <v>53.42</v>
      </c>
      <c r="N12">
        <v>95.95</v>
      </c>
      <c r="O12">
        <v>437</v>
      </c>
      <c r="P12">
        <v>1.61</v>
      </c>
    </row>
    <row r="13" spans="1:16" x14ac:dyDescent="0.25">
      <c r="A13" t="s">
        <v>26</v>
      </c>
      <c r="B13" t="s">
        <v>30</v>
      </c>
      <c r="C13" t="s">
        <v>39</v>
      </c>
      <c r="D13">
        <v>1073</v>
      </c>
      <c r="E13">
        <v>2128.0700000000002</v>
      </c>
      <c r="F13">
        <v>31</v>
      </c>
      <c r="G13">
        <v>317.72000000000003</v>
      </c>
      <c r="H13">
        <v>24.44</v>
      </c>
      <c r="I13" t="s">
        <v>31</v>
      </c>
      <c r="J13">
        <v>565</v>
      </c>
      <c r="K13">
        <v>49.62</v>
      </c>
      <c r="L13">
        <v>498</v>
      </c>
      <c r="M13">
        <v>90.54</v>
      </c>
      <c r="N13">
        <v>96.56</v>
      </c>
      <c r="O13">
        <v>345</v>
      </c>
      <c r="P13">
        <v>4.6399999999999997</v>
      </c>
    </row>
    <row r="14" spans="1:16" x14ac:dyDescent="0.25">
      <c r="A14" t="s">
        <v>36</v>
      </c>
      <c r="B14" t="s">
        <v>30</v>
      </c>
      <c r="C14" t="s">
        <v>40</v>
      </c>
      <c r="D14">
        <v>670</v>
      </c>
      <c r="E14">
        <v>545.20000000000005</v>
      </c>
      <c r="F14">
        <v>462</v>
      </c>
      <c r="G14">
        <v>414.23</v>
      </c>
      <c r="H14">
        <v>26.86</v>
      </c>
      <c r="I14" t="s">
        <v>31</v>
      </c>
      <c r="J14">
        <v>730</v>
      </c>
      <c r="K14">
        <v>21.31</v>
      </c>
      <c r="L14">
        <v>463</v>
      </c>
      <c r="M14">
        <v>83.13</v>
      </c>
      <c r="N14">
        <v>80.16</v>
      </c>
      <c r="O14">
        <v>68</v>
      </c>
      <c r="P14">
        <v>5.85</v>
      </c>
    </row>
    <row r="15" spans="1:16" x14ac:dyDescent="0.25">
      <c r="A15" t="s">
        <v>20</v>
      </c>
      <c r="B15" t="s">
        <v>33</v>
      </c>
      <c r="C15" t="s">
        <v>28</v>
      </c>
      <c r="D15">
        <v>1055</v>
      </c>
      <c r="E15">
        <v>865.6</v>
      </c>
      <c r="F15">
        <v>138</v>
      </c>
      <c r="G15">
        <v>357.53</v>
      </c>
      <c r="H15">
        <v>27</v>
      </c>
      <c r="I15" t="s">
        <v>25</v>
      </c>
      <c r="J15">
        <v>551</v>
      </c>
      <c r="K15">
        <v>10.35</v>
      </c>
      <c r="L15">
        <v>362</v>
      </c>
      <c r="M15">
        <v>63.68</v>
      </c>
      <c r="N15">
        <v>93.88</v>
      </c>
      <c r="O15">
        <v>55</v>
      </c>
      <c r="P15">
        <v>2.2599999999999998</v>
      </c>
    </row>
    <row r="16" spans="1:16" x14ac:dyDescent="0.25">
      <c r="A16" t="s">
        <v>16</v>
      </c>
      <c r="B16" t="s">
        <v>23</v>
      </c>
      <c r="C16" t="s">
        <v>40</v>
      </c>
      <c r="D16">
        <v>81</v>
      </c>
      <c r="E16">
        <v>106.99</v>
      </c>
      <c r="F16">
        <v>486</v>
      </c>
      <c r="G16">
        <v>109.37</v>
      </c>
      <c r="H16">
        <v>26.74</v>
      </c>
      <c r="I16" t="s">
        <v>25</v>
      </c>
      <c r="J16">
        <v>151</v>
      </c>
      <c r="K16">
        <v>6.36</v>
      </c>
      <c r="L16">
        <v>341</v>
      </c>
      <c r="M16">
        <v>84.36</v>
      </c>
      <c r="N16">
        <v>88.6</v>
      </c>
      <c r="O16">
        <v>257</v>
      </c>
      <c r="P16">
        <v>6.23</v>
      </c>
    </row>
    <row r="17" spans="1:16" x14ac:dyDescent="0.25">
      <c r="A17" t="s">
        <v>41</v>
      </c>
      <c r="B17" t="s">
        <v>27</v>
      </c>
      <c r="C17" t="s">
        <v>37</v>
      </c>
      <c r="D17">
        <v>878</v>
      </c>
      <c r="E17">
        <v>1586.36</v>
      </c>
      <c r="F17">
        <v>321</v>
      </c>
      <c r="G17">
        <v>136.80000000000001</v>
      </c>
      <c r="H17">
        <v>16</v>
      </c>
      <c r="I17" t="s">
        <v>19</v>
      </c>
      <c r="J17">
        <v>691</v>
      </c>
      <c r="K17">
        <v>47.18</v>
      </c>
      <c r="L17">
        <v>238</v>
      </c>
      <c r="M17">
        <v>59.9</v>
      </c>
      <c r="N17">
        <v>89.11</v>
      </c>
      <c r="O17">
        <v>124</v>
      </c>
      <c r="P17">
        <v>2.2000000000000002</v>
      </c>
    </row>
    <row r="18" spans="1:16" x14ac:dyDescent="0.25">
      <c r="A18" t="s">
        <v>42</v>
      </c>
      <c r="B18" t="s">
        <v>33</v>
      </c>
      <c r="C18" t="s">
        <v>39</v>
      </c>
      <c r="D18">
        <v>703</v>
      </c>
      <c r="E18">
        <v>683.76</v>
      </c>
      <c r="F18">
        <v>69</v>
      </c>
      <c r="G18">
        <v>357.86</v>
      </c>
      <c r="H18">
        <v>8.67</v>
      </c>
      <c r="I18" t="s">
        <v>19</v>
      </c>
      <c r="J18">
        <v>944</v>
      </c>
      <c r="K18">
        <v>38.18</v>
      </c>
      <c r="L18">
        <v>461</v>
      </c>
      <c r="M18">
        <v>61.6</v>
      </c>
      <c r="N18">
        <v>96.38</v>
      </c>
      <c r="O18">
        <v>148</v>
      </c>
      <c r="P18">
        <v>6.92</v>
      </c>
    </row>
    <row r="19" spans="1:16" x14ac:dyDescent="0.25">
      <c r="A19" t="s">
        <v>43</v>
      </c>
      <c r="B19" t="s">
        <v>21</v>
      </c>
      <c r="C19" t="s">
        <v>40</v>
      </c>
      <c r="D19">
        <v>1822</v>
      </c>
      <c r="E19">
        <v>975.11</v>
      </c>
      <c r="F19">
        <v>69</v>
      </c>
      <c r="G19">
        <v>426.23</v>
      </c>
      <c r="H19">
        <v>23.59</v>
      </c>
      <c r="I19" t="s">
        <v>29</v>
      </c>
      <c r="J19">
        <v>853</v>
      </c>
      <c r="K19">
        <v>4.99</v>
      </c>
      <c r="L19">
        <v>460</v>
      </c>
      <c r="M19">
        <v>81.680000000000007</v>
      </c>
      <c r="N19">
        <v>84.94</v>
      </c>
      <c r="O19">
        <v>382</v>
      </c>
      <c r="P19">
        <v>3</v>
      </c>
    </row>
    <row r="20" spans="1:16" x14ac:dyDescent="0.25">
      <c r="A20" t="s">
        <v>36</v>
      </c>
      <c r="B20" t="s">
        <v>17</v>
      </c>
      <c r="C20" t="s">
        <v>28</v>
      </c>
      <c r="D20">
        <v>785</v>
      </c>
      <c r="E20">
        <v>403.95</v>
      </c>
      <c r="F20">
        <v>162</v>
      </c>
      <c r="G20">
        <v>33.630000000000003</v>
      </c>
      <c r="H20">
        <v>9.75</v>
      </c>
      <c r="I20" t="s">
        <v>19</v>
      </c>
      <c r="J20">
        <v>395</v>
      </c>
      <c r="K20">
        <v>49.6</v>
      </c>
      <c r="L20">
        <v>241</v>
      </c>
      <c r="M20">
        <v>88.72</v>
      </c>
      <c r="N20">
        <v>98.19</v>
      </c>
      <c r="O20">
        <v>174</v>
      </c>
      <c r="P20">
        <v>3.48</v>
      </c>
    </row>
    <row r="21" spans="1:16" x14ac:dyDescent="0.25">
      <c r="A21" t="s">
        <v>36</v>
      </c>
      <c r="B21" t="s">
        <v>17</v>
      </c>
      <c r="C21" t="s">
        <v>44</v>
      </c>
      <c r="D21">
        <v>1100</v>
      </c>
      <c r="E21">
        <v>1669.45</v>
      </c>
      <c r="F21">
        <v>117</v>
      </c>
      <c r="G21">
        <v>228.74</v>
      </c>
      <c r="H21">
        <v>17.21</v>
      </c>
      <c r="I21" t="s">
        <v>31</v>
      </c>
      <c r="J21">
        <v>481</v>
      </c>
      <c r="K21">
        <v>10.99</v>
      </c>
      <c r="L21">
        <v>381</v>
      </c>
      <c r="M21">
        <v>87.2</v>
      </c>
      <c r="N21">
        <v>92.28</v>
      </c>
      <c r="O21">
        <v>408</v>
      </c>
      <c r="P21">
        <v>9.82</v>
      </c>
    </row>
    <row r="22" spans="1:16" x14ac:dyDescent="0.25">
      <c r="A22" t="s">
        <v>43</v>
      </c>
      <c r="B22" t="s">
        <v>17</v>
      </c>
      <c r="C22" t="s">
        <v>40</v>
      </c>
      <c r="D22">
        <v>613</v>
      </c>
      <c r="E22">
        <v>571.36</v>
      </c>
      <c r="F22">
        <v>484</v>
      </c>
      <c r="G22">
        <v>15.22</v>
      </c>
      <c r="H22">
        <v>23.04</v>
      </c>
      <c r="I22" t="s">
        <v>31</v>
      </c>
      <c r="J22">
        <v>522</v>
      </c>
      <c r="K22">
        <v>21.68</v>
      </c>
      <c r="L22">
        <v>484</v>
      </c>
      <c r="M22">
        <v>89.99</v>
      </c>
      <c r="N22">
        <v>85.25</v>
      </c>
      <c r="O22">
        <v>492</v>
      </c>
      <c r="P22">
        <v>1.57</v>
      </c>
    </row>
    <row r="23" spans="1:16" x14ac:dyDescent="0.25">
      <c r="A23" t="s">
        <v>36</v>
      </c>
      <c r="B23" t="s">
        <v>23</v>
      </c>
      <c r="C23" t="s">
        <v>18</v>
      </c>
      <c r="D23">
        <v>754</v>
      </c>
      <c r="E23">
        <v>393.76</v>
      </c>
      <c r="F23">
        <v>481</v>
      </c>
      <c r="G23">
        <v>156.32</v>
      </c>
      <c r="H23">
        <v>29.3</v>
      </c>
      <c r="I23" t="s">
        <v>25</v>
      </c>
      <c r="J23">
        <v>964</v>
      </c>
      <c r="K23">
        <v>44.79</v>
      </c>
      <c r="L23">
        <v>138</v>
      </c>
      <c r="M23">
        <v>89.33</v>
      </c>
      <c r="N23">
        <v>90.31</v>
      </c>
      <c r="O23">
        <v>244</v>
      </c>
      <c r="P23">
        <v>8.76</v>
      </c>
    </row>
    <row r="24" spans="1:16" x14ac:dyDescent="0.25">
      <c r="A24" t="s">
        <v>20</v>
      </c>
      <c r="B24" t="s">
        <v>23</v>
      </c>
      <c r="C24" t="s">
        <v>39</v>
      </c>
      <c r="D24">
        <v>1073</v>
      </c>
      <c r="E24">
        <v>1245.22</v>
      </c>
      <c r="F24">
        <v>432</v>
      </c>
      <c r="G24">
        <v>288.55</v>
      </c>
      <c r="H24">
        <v>17.579999999999998</v>
      </c>
      <c r="I24" t="s">
        <v>19</v>
      </c>
      <c r="J24">
        <v>219</v>
      </c>
      <c r="K24">
        <v>6.29</v>
      </c>
      <c r="L24">
        <v>206</v>
      </c>
      <c r="M24">
        <v>50.17</v>
      </c>
      <c r="N24">
        <v>89.24</v>
      </c>
      <c r="O24">
        <v>480</v>
      </c>
      <c r="P24">
        <v>9.83</v>
      </c>
    </row>
    <row r="25" spans="1:16" x14ac:dyDescent="0.25">
      <c r="A25" t="s">
        <v>43</v>
      </c>
      <c r="B25" t="s">
        <v>30</v>
      </c>
      <c r="C25" t="s">
        <v>35</v>
      </c>
      <c r="D25">
        <v>1371</v>
      </c>
      <c r="E25">
        <v>2034.56</v>
      </c>
      <c r="F25">
        <v>137</v>
      </c>
      <c r="G25">
        <v>219.33</v>
      </c>
      <c r="H25">
        <v>21.39</v>
      </c>
      <c r="I25" t="s">
        <v>25</v>
      </c>
      <c r="J25">
        <v>698</v>
      </c>
      <c r="K25">
        <v>22.3</v>
      </c>
      <c r="L25">
        <v>424</v>
      </c>
      <c r="M25">
        <v>77.12</v>
      </c>
      <c r="N25">
        <v>89.69</v>
      </c>
      <c r="O25">
        <v>255</v>
      </c>
      <c r="P25">
        <v>2.4500000000000002</v>
      </c>
    </row>
    <row r="26" spans="1:16" x14ac:dyDescent="0.25">
      <c r="A26" t="s">
        <v>16</v>
      </c>
      <c r="B26" t="s">
        <v>27</v>
      </c>
      <c r="C26" t="s">
        <v>22</v>
      </c>
      <c r="D26">
        <v>1871</v>
      </c>
      <c r="E26">
        <v>3460.99</v>
      </c>
      <c r="F26">
        <v>330</v>
      </c>
      <c r="G26">
        <v>304.83</v>
      </c>
      <c r="H26">
        <v>8.99</v>
      </c>
      <c r="I26" t="s">
        <v>19</v>
      </c>
      <c r="J26">
        <v>881</v>
      </c>
      <c r="K26">
        <v>29.32</v>
      </c>
      <c r="L26">
        <v>158</v>
      </c>
      <c r="M26">
        <v>82.37</v>
      </c>
      <c r="N26">
        <v>96.6</v>
      </c>
      <c r="O26">
        <v>414</v>
      </c>
      <c r="P26">
        <v>9.31</v>
      </c>
    </row>
    <row r="27" spans="1:16" x14ac:dyDescent="0.25">
      <c r="A27" t="s">
        <v>42</v>
      </c>
      <c r="B27" t="s">
        <v>27</v>
      </c>
      <c r="C27" t="s">
        <v>32</v>
      </c>
      <c r="D27">
        <v>1914</v>
      </c>
      <c r="E27">
        <v>1369.17</v>
      </c>
      <c r="F27">
        <v>136</v>
      </c>
      <c r="G27">
        <v>321.54000000000002</v>
      </c>
      <c r="H27">
        <v>5.51</v>
      </c>
      <c r="I27" t="s">
        <v>31</v>
      </c>
      <c r="J27">
        <v>199</v>
      </c>
      <c r="K27">
        <v>32.79</v>
      </c>
      <c r="L27">
        <v>350</v>
      </c>
      <c r="M27">
        <v>75.67</v>
      </c>
      <c r="N27">
        <v>93.5</v>
      </c>
      <c r="O27">
        <v>189</v>
      </c>
      <c r="P27">
        <v>6.6</v>
      </c>
    </row>
    <row r="28" spans="1:16" x14ac:dyDescent="0.25">
      <c r="A28" t="s">
        <v>42</v>
      </c>
      <c r="B28" t="s">
        <v>27</v>
      </c>
      <c r="C28" t="s">
        <v>32</v>
      </c>
      <c r="D28">
        <v>1374</v>
      </c>
      <c r="E28">
        <v>2527.98</v>
      </c>
      <c r="F28">
        <v>496</v>
      </c>
      <c r="G28">
        <v>293.27999999999997</v>
      </c>
      <c r="H28">
        <v>26.62</v>
      </c>
      <c r="I28" t="s">
        <v>25</v>
      </c>
      <c r="J28">
        <v>575</v>
      </c>
      <c r="K28">
        <v>14.76</v>
      </c>
      <c r="L28">
        <v>374</v>
      </c>
      <c r="M28">
        <v>61.25</v>
      </c>
      <c r="N28">
        <v>98.9</v>
      </c>
      <c r="O28">
        <v>145</v>
      </c>
      <c r="P28">
        <v>4.9400000000000004</v>
      </c>
    </row>
    <row r="29" spans="1:16" x14ac:dyDescent="0.25">
      <c r="A29" t="s">
        <v>41</v>
      </c>
      <c r="B29" t="s">
        <v>17</v>
      </c>
      <c r="C29" t="s">
        <v>37</v>
      </c>
      <c r="D29">
        <v>1131</v>
      </c>
      <c r="E29">
        <v>2243.5500000000002</v>
      </c>
      <c r="F29">
        <v>300</v>
      </c>
      <c r="G29">
        <v>407.51</v>
      </c>
      <c r="H29">
        <v>15.66</v>
      </c>
      <c r="I29" t="s">
        <v>29</v>
      </c>
      <c r="J29">
        <v>586</v>
      </c>
      <c r="K29">
        <v>43.14</v>
      </c>
      <c r="L29">
        <v>475</v>
      </c>
      <c r="M29">
        <v>68.319999999999993</v>
      </c>
      <c r="N29">
        <v>88.17</v>
      </c>
      <c r="O29">
        <v>107</v>
      </c>
      <c r="P29">
        <v>5.15</v>
      </c>
    </row>
    <row r="30" spans="1:16" x14ac:dyDescent="0.25">
      <c r="A30" t="s">
        <v>26</v>
      </c>
      <c r="B30" t="s">
        <v>17</v>
      </c>
      <c r="C30" t="s">
        <v>35</v>
      </c>
      <c r="D30">
        <v>483</v>
      </c>
      <c r="E30">
        <v>928.98</v>
      </c>
      <c r="F30">
        <v>88</v>
      </c>
      <c r="G30">
        <v>151.94</v>
      </c>
      <c r="H30">
        <v>5.3</v>
      </c>
      <c r="I30" t="s">
        <v>29</v>
      </c>
      <c r="J30">
        <v>160</v>
      </c>
      <c r="K30">
        <v>18.84</v>
      </c>
      <c r="L30">
        <v>474</v>
      </c>
      <c r="M30">
        <v>80.849999999999994</v>
      </c>
      <c r="N30">
        <v>92.56</v>
      </c>
      <c r="O30">
        <v>386</v>
      </c>
      <c r="P30">
        <v>7.44</v>
      </c>
    </row>
    <row r="31" spans="1:16" x14ac:dyDescent="0.25">
      <c r="A31" t="s">
        <v>43</v>
      </c>
      <c r="B31" t="s">
        <v>27</v>
      </c>
      <c r="C31" t="s">
        <v>28</v>
      </c>
      <c r="D31">
        <v>1390</v>
      </c>
      <c r="E31">
        <v>2619.87</v>
      </c>
      <c r="F31">
        <v>325</v>
      </c>
      <c r="G31">
        <v>95.94</v>
      </c>
      <c r="H31">
        <v>15.36</v>
      </c>
      <c r="I31" t="s">
        <v>29</v>
      </c>
      <c r="J31">
        <v>966</v>
      </c>
      <c r="K31">
        <v>28.19</v>
      </c>
      <c r="L31">
        <v>427</v>
      </c>
      <c r="M31">
        <v>97.51</v>
      </c>
      <c r="N31">
        <v>98.81</v>
      </c>
      <c r="O31">
        <v>244</v>
      </c>
      <c r="P31">
        <v>9.1</v>
      </c>
    </row>
    <row r="32" spans="1:16" x14ac:dyDescent="0.25">
      <c r="A32" t="s">
        <v>16</v>
      </c>
      <c r="B32" t="s">
        <v>21</v>
      </c>
      <c r="C32" t="s">
        <v>39</v>
      </c>
      <c r="D32">
        <v>267</v>
      </c>
      <c r="E32">
        <v>427.02</v>
      </c>
      <c r="F32">
        <v>422</v>
      </c>
      <c r="G32">
        <v>179.99</v>
      </c>
      <c r="H32">
        <v>16.54</v>
      </c>
      <c r="I32" t="s">
        <v>25</v>
      </c>
      <c r="J32">
        <v>226</v>
      </c>
      <c r="K32">
        <v>1.0900000000000001</v>
      </c>
      <c r="L32">
        <v>355</v>
      </c>
      <c r="M32">
        <v>95.94</v>
      </c>
      <c r="N32">
        <v>83.27</v>
      </c>
      <c r="O32">
        <v>206</v>
      </c>
      <c r="P32">
        <v>8.31</v>
      </c>
    </row>
    <row r="33" spans="1:16" x14ac:dyDescent="0.25">
      <c r="A33" t="s">
        <v>26</v>
      </c>
      <c r="B33" t="s">
        <v>27</v>
      </c>
      <c r="C33" t="s">
        <v>24</v>
      </c>
      <c r="D33">
        <v>885</v>
      </c>
      <c r="E33">
        <v>1223.6300000000001</v>
      </c>
      <c r="F33">
        <v>473</v>
      </c>
      <c r="G33">
        <v>275.64</v>
      </c>
      <c r="H33">
        <v>26.35</v>
      </c>
      <c r="I33" t="s">
        <v>31</v>
      </c>
      <c r="J33">
        <v>497</v>
      </c>
      <c r="K33">
        <v>42.04</v>
      </c>
      <c r="L33">
        <v>457</v>
      </c>
      <c r="M33">
        <v>69.55</v>
      </c>
      <c r="N33">
        <v>88.64</v>
      </c>
      <c r="O33">
        <v>424</v>
      </c>
      <c r="P33">
        <v>2.4700000000000002</v>
      </c>
    </row>
    <row r="34" spans="1:16" x14ac:dyDescent="0.25">
      <c r="A34" t="s">
        <v>20</v>
      </c>
      <c r="B34" t="s">
        <v>21</v>
      </c>
      <c r="C34" t="s">
        <v>28</v>
      </c>
      <c r="D34">
        <v>1544</v>
      </c>
      <c r="E34">
        <v>2873.86</v>
      </c>
      <c r="F34">
        <v>197</v>
      </c>
      <c r="G34">
        <v>128.76</v>
      </c>
      <c r="H34">
        <v>10.5</v>
      </c>
      <c r="I34" t="s">
        <v>29</v>
      </c>
      <c r="J34">
        <v>190</v>
      </c>
      <c r="K34">
        <v>49.43</v>
      </c>
      <c r="L34">
        <v>172</v>
      </c>
      <c r="M34">
        <v>95.37</v>
      </c>
      <c r="N34">
        <v>95.71</v>
      </c>
      <c r="O34">
        <v>335</v>
      </c>
      <c r="P34">
        <v>9.9700000000000006</v>
      </c>
    </row>
    <row r="35" spans="1:16" x14ac:dyDescent="0.25">
      <c r="A35" t="s">
        <v>36</v>
      </c>
      <c r="B35" t="s">
        <v>17</v>
      </c>
      <c r="C35" t="s">
        <v>32</v>
      </c>
      <c r="D35">
        <v>436</v>
      </c>
      <c r="E35">
        <v>675.51</v>
      </c>
      <c r="F35">
        <v>461</v>
      </c>
      <c r="G35">
        <v>452.43</v>
      </c>
      <c r="H35">
        <v>28.11</v>
      </c>
      <c r="I35" t="s">
        <v>31</v>
      </c>
      <c r="J35">
        <v>670</v>
      </c>
      <c r="K35">
        <v>46.87</v>
      </c>
      <c r="L35">
        <v>80</v>
      </c>
      <c r="M35">
        <v>57.06</v>
      </c>
      <c r="N35">
        <v>90.46</v>
      </c>
      <c r="O35">
        <v>108</v>
      </c>
      <c r="P35">
        <v>6.51</v>
      </c>
    </row>
    <row r="36" spans="1:16" x14ac:dyDescent="0.25">
      <c r="A36" t="s">
        <v>41</v>
      </c>
      <c r="B36" t="s">
        <v>23</v>
      </c>
      <c r="C36" t="s">
        <v>32</v>
      </c>
      <c r="D36">
        <v>1780</v>
      </c>
      <c r="E36">
        <v>1717.36</v>
      </c>
      <c r="F36">
        <v>270</v>
      </c>
      <c r="G36">
        <v>238.86</v>
      </c>
      <c r="H36">
        <v>21.2</v>
      </c>
      <c r="I36" t="s">
        <v>19</v>
      </c>
      <c r="J36">
        <v>774</v>
      </c>
      <c r="K36">
        <v>3.06</v>
      </c>
      <c r="L36">
        <v>35</v>
      </c>
      <c r="M36">
        <v>90.94</v>
      </c>
      <c r="N36">
        <v>89.41</v>
      </c>
      <c r="O36">
        <v>328</v>
      </c>
      <c r="P36">
        <v>4.6100000000000003</v>
      </c>
    </row>
    <row r="37" spans="1:16" x14ac:dyDescent="0.25">
      <c r="A37" t="s">
        <v>26</v>
      </c>
      <c r="B37" t="s">
        <v>21</v>
      </c>
      <c r="C37" t="s">
        <v>22</v>
      </c>
      <c r="D37">
        <v>192</v>
      </c>
      <c r="E37">
        <v>219.7</v>
      </c>
      <c r="F37">
        <v>351</v>
      </c>
      <c r="G37">
        <v>179.27</v>
      </c>
      <c r="H37">
        <v>28.56</v>
      </c>
      <c r="I37" t="s">
        <v>19</v>
      </c>
      <c r="J37">
        <v>767</v>
      </c>
      <c r="K37">
        <v>5.81</v>
      </c>
      <c r="L37">
        <v>481</v>
      </c>
      <c r="M37">
        <v>53.9</v>
      </c>
      <c r="N37">
        <v>95.99</v>
      </c>
      <c r="O37">
        <v>462</v>
      </c>
      <c r="P37">
        <v>7.43</v>
      </c>
    </row>
    <row r="38" spans="1:16" x14ac:dyDescent="0.25">
      <c r="A38" t="s">
        <v>42</v>
      </c>
      <c r="B38" t="s">
        <v>21</v>
      </c>
      <c r="C38" t="s">
        <v>37</v>
      </c>
      <c r="D38">
        <v>990</v>
      </c>
      <c r="E38">
        <v>1458.75</v>
      </c>
      <c r="F38">
        <v>209</v>
      </c>
      <c r="G38">
        <v>222.14</v>
      </c>
      <c r="H38">
        <v>23.8</v>
      </c>
      <c r="I38" t="s">
        <v>25</v>
      </c>
      <c r="J38">
        <v>80</v>
      </c>
      <c r="K38">
        <v>40.5</v>
      </c>
      <c r="L38">
        <v>237</v>
      </c>
      <c r="M38">
        <v>81.52</v>
      </c>
      <c r="N38">
        <v>87.42</v>
      </c>
      <c r="O38">
        <v>426</v>
      </c>
      <c r="P38">
        <v>2.4700000000000002</v>
      </c>
    </row>
    <row r="39" spans="1:16" x14ac:dyDescent="0.25">
      <c r="A39" t="s">
        <v>43</v>
      </c>
      <c r="B39" t="s">
        <v>21</v>
      </c>
      <c r="C39" t="s">
        <v>44</v>
      </c>
      <c r="D39">
        <v>945</v>
      </c>
      <c r="E39">
        <v>932.41</v>
      </c>
      <c r="F39">
        <v>44</v>
      </c>
      <c r="G39">
        <v>395.65</v>
      </c>
      <c r="H39">
        <v>16.260000000000002</v>
      </c>
      <c r="I39" t="s">
        <v>19</v>
      </c>
      <c r="J39">
        <v>657</v>
      </c>
      <c r="K39">
        <v>22.03</v>
      </c>
      <c r="L39">
        <v>185</v>
      </c>
      <c r="M39">
        <v>73.42</v>
      </c>
      <c r="N39">
        <v>88.17</v>
      </c>
      <c r="O39">
        <v>97</v>
      </c>
      <c r="P39">
        <v>6.33</v>
      </c>
    </row>
    <row r="40" spans="1:16" x14ac:dyDescent="0.25">
      <c r="A40" t="s">
        <v>36</v>
      </c>
      <c r="B40" t="s">
        <v>17</v>
      </c>
      <c r="C40" t="s">
        <v>35</v>
      </c>
      <c r="D40">
        <v>150</v>
      </c>
      <c r="E40">
        <v>202.25</v>
      </c>
      <c r="F40">
        <v>322</v>
      </c>
      <c r="G40">
        <v>83.55</v>
      </c>
      <c r="H40">
        <v>8.69</v>
      </c>
      <c r="I40" t="s">
        <v>25</v>
      </c>
      <c r="J40">
        <v>828</v>
      </c>
      <c r="K40">
        <v>49.5</v>
      </c>
      <c r="L40">
        <v>109</v>
      </c>
      <c r="M40">
        <v>97.42</v>
      </c>
      <c r="N40">
        <v>95.01</v>
      </c>
      <c r="O40">
        <v>103</v>
      </c>
      <c r="P40">
        <v>3.18</v>
      </c>
    </row>
    <row r="41" spans="1:16" x14ac:dyDescent="0.25">
      <c r="A41" t="s">
        <v>38</v>
      </c>
      <c r="B41" t="s">
        <v>30</v>
      </c>
      <c r="C41" t="s">
        <v>44</v>
      </c>
      <c r="D41">
        <v>1816</v>
      </c>
      <c r="E41">
        <v>2020.62</v>
      </c>
      <c r="F41">
        <v>227</v>
      </c>
      <c r="G41">
        <v>486.49</v>
      </c>
      <c r="H41">
        <v>6.21</v>
      </c>
      <c r="I41" t="s">
        <v>29</v>
      </c>
      <c r="J41">
        <v>35</v>
      </c>
      <c r="K41">
        <v>36.71</v>
      </c>
      <c r="L41">
        <v>346</v>
      </c>
      <c r="M41">
        <v>93.34</v>
      </c>
      <c r="N41">
        <v>86.64</v>
      </c>
      <c r="O41">
        <v>347</v>
      </c>
      <c r="P41">
        <v>8.5299999999999994</v>
      </c>
    </row>
    <row r="42" spans="1:16" x14ac:dyDescent="0.25">
      <c r="A42" t="s">
        <v>41</v>
      </c>
      <c r="B42" t="s">
        <v>27</v>
      </c>
      <c r="C42" t="s">
        <v>40</v>
      </c>
      <c r="D42">
        <v>534</v>
      </c>
      <c r="E42">
        <v>824.72</v>
      </c>
      <c r="F42">
        <v>35</v>
      </c>
      <c r="G42">
        <v>25.55</v>
      </c>
      <c r="H42">
        <v>29.1</v>
      </c>
      <c r="I42" t="s">
        <v>31</v>
      </c>
      <c r="J42">
        <v>473</v>
      </c>
      <c r="K42">
        <v>5.76</v>
      </c>
      <c r="L42">
        <v>23</v>
      </c>
      <c r="M42">
        <v>72.260000000000005</v>
      </c>
      <c r="N42">
        <v>82.54</v>
      </c>
      <c r="O42">
        <v>227</v>
      </c>
      <c r="P42">
        <v>5.45</v>
      </c>
    </row>
    <row r="43" spans="1:16" x14ac:dyDescent="0.25">
      <c r="A43" t="s">
        <v>36</v>
      </c>
      <c r="B43" t="s">
        <v>30</v>
      </c>
      <c r="C43" t="s">
        <v>22</v>
      </c>
      <c r="D43">
        <v>643</v>
      </c>
      <c r="E43">
        <v>1062.48</v>
      </c>
      <c r="F43">
        <v>231</v>
      </c>
      <c r="G43">
        <v>187.14</v>
      </c>
      <c r="H43">
        <v>20.39</v>
      </c>
      <c r="I43" t="s">
        <v>19</v>
      </c>
      <c r="J43">
        <v>768</v>
      </c>
      <c r="K43">
        <v>19.34</v>
      </c>
      <c r="L43">
        <v>255</v>
      </c>
      <c r="M43">
        <v>62.58</v>
      </c>
      <c r="N43">
        <v>89.85</v>
      </c>
      <c r="O43">
        <v>69</v>
      </c>
      <c r="P43">
        <v>8.08</v>
      </c>
    </row>
    <row r="44" spans="1:16" x14ac:dyDescent="0.25">
      <c r="A44" t="s">
        <v>20</v>
      </c>
      <c r="B44" t="s">
        <v>17</v>
      </c>
      <c r="C44" t="s">
        <v>35</v>
      </c>
      <c r="D44">
        <v>367</v>
      </c>
      <c r="E44">
        <v>587.04999999999995</v>
      </c>
      <c r="F44">
        <v>138</v>
      </c>
      <c r="G44">
        <v>111.18</v>
      </c>
      <c r="H44">
        <v>15.61</v>
      </c>
      <c r="I44" t="s">
        <v>19</v>
      </c>
      <c r="J44">
        <v>554</v>
      </c>
      <c r="K44">
        <v>15.68</v>
      </c>
      <c r="L44">
        <v>354</v>
      </c>
      <c r="M44">
        <v>99.63</v>
      </c>
      <c r="N44">
        <v>82.06</v>
      </c>
      <c r="O44">
        <v>121</v>
      </c>
      <c r="P44">
        <v>5.13</v>
      </c>
    </row>
    <row r="45" spans="1:16" x14ac:dyDescent="0.25">
      <c r="A45" t="s">
        <v>43</v>
      </c>
      <c r="B45" t="s">
        <v>27</v>
      </c>
      <c r="C45" t="s">
        <v>22</v>
      </c>
      <c r="D45">
        <v>1186</v>
      </c>
      <c r="E45">
        <v>1912.13</v>
      </c>
      <c r="F45">
        <v>196</v>
      </c>
      <c r="G45">
        <v>69.97</v>
      </c>
      <c r="H45">
        <v>28.98</v>
      </c>
      <c r="I45" t="s">
        <v>25</v>
      </c>
      <c r="J45">
        <v>398</v>
      </c>
      <c r="K45">
        <v>2.76</v>
      </c>
      <c r="L45">
        <v>265</v>
      </c>
      <c r="M45">
        <v>90.51</v>
      </c>
      <c r="N45">
        <v>94.82</v>
      </c>
      <c r="O45">
        <v>450</v>
      </c>
      <c r="P45">
        <v>5.23</v>
      </c>
    </row>
    <row r="46" spans="1:16" x14ac:dyDescent="0.25">
      <c r="A46" t="s">
        <v>20</v>
      </c>
      <c r="B46" t="s">
        <v>17</v>
      </c>
      <c r="C46" t="s">
        <v>37</v>
      </c>
      <c r="D46">
        <v>1002</v>
      </c>
      <c r="E46">
        <v>1205.75</v>
      </c>
      <c r="F46">
        <v>397</v>
      </c>
      <c r="G46">
        <v>353.04</v>
      </c>
      <c r="H46">
        <v>14.25</v>
      </c>
      <c r="I46" t="s">
        <v>19</v>
      </c>
      <c r="J46">
        <v>87</v>
      </c>
      <c r="K46">
        <v>35.840000000000003</v>
      </c>
      <c r="L46">
        <v>30</v>
      </c>
      <c r="M46">
        <v>95.56</v>
      </c>
      <c r="N46">
        <v>87.42</v>
      </c>
      <c r="O46">
        <v>313</v>
      </c>
      <c r="P46">
        <v>4.92</v>
      </c>
    </row>
    <row r="47" spans="1:16" x14ac:dyDescent="0.25">
      <c r="A47" t="s">
        <v>20</v>
      </c>
      <c r="B47" t="s">
        <v>33</v>
      </c>
      <c r="C47" t="s">
        <v>32</v>
      </c>
      <c r="D47">
        <v>108</v>
      </c>
      <c r="E47">
        <v>168.71</v>
      </c>
      <c r="F47">
        <v>124</v>
      </c>
      <c r="G47">
        <v>216.27</v>
      </c>
      <c r="H47">
        <v>15.95</v>
      </c>
      <c r="I47" t="s">
        <v>25</v>
      </c>
      <c r="J47">
        <v>508</v>
      </c>
      <c r="K47">
        <v>45.26</v>
      </c>
      <c r="L47">
        <v>99</v>
      </c>
      <c r="M47">
        <v>61.42</v>
      </c>
      <c r="N47">
        <v>88.62</v>
      </c>
      <c r="O47">
        <v>116</v>
      </c>
      <c r="P47">
        <v>8.77</v>
      </c>
    </row>
    <row r="48" spans="1:16" x14ac:dyDescent="0.25">
      <c r="A48" t="s">
        <v>26</v>
      </c>
      <c r="B48" t="s">
        <v>27</v>
      </c>
      <c r="C48" t="s">
        <v>34</v>
      </c>
      <c r="D48">
        <v>689</v>
      </c>
      <c r="E48">
        <v>589.33000000000004</v>
      </c>
      <c r="F48">
        <v>54</v>
      </c>
      <c r="G48">
        <v>200.46</v>
      </c>
      <c r="H48">
        <v>6.03</v>
      </c>
      <c r="I48" t="s">
        <v>31</v>
      </c>
      <c r="J48">
        <v>50</v>
      </c>
      <c r="K48">
        <v>5.96</v>
      </c>
      <c r="L48">
        <v>344</v>
      </c>
      <c r="M48">
        <v>54.72</v>
      </c>
      <c r="N48">
        <v>93.67</v>
      </c>
      <c r="O48">
        <v>259</v>
      </c>
      <c r="P48">
        <v>6.54</v>
      </c>
    </row>
    <row r="49" spans="1:16" x14ac:dyDescent="0.25">
      <c r="A49" t="s">
        <v>38</v>
      </c>
      <c r="B49" t="s">
        <v>30</v>
      </c>
      <c r="C49" t="s">
        <v>39</v>
      </c>
      <c r="D49">
        <v>899</v>
      </c>
      <c r="E49">
        <v>638.33000000000004</v>
      </c>
      <c r="F49">
        <v>23</v>
      </c>
      <c r="G49">
        <v>66.63</v>
      </c>
      <c r="H49">
        <v>18.190000000000001</v>
      </c>
      <c r="I49" t="s">
        <v>25</v>
      </c>
      <c r="J49">
        <v>278</v>
      </c>
      <c r="K49">
        <v>26.3</v>
      </c>
      <c r="L49">
        <v>417</v>
      </c>
      <c r="M49">
        <v>58.49</v>
      </c>
      <c r="N49">
        <v>86.35</v>
      </c>
      <c r="O49">
        <v>338</v>
      </c>
      <c r="P49">
        <v>6.17</v>
      </c>
    </row>
    <row r="50" spans="1:16" x14ac:dyDescent="0.25">
      <c r="A50" t="s">
        <v>20</v>
      </c>
      <c r="B50" t="s">
        <v>17</v>
      </c>
      <c r="C50" t="s">
        <v>32</v>
      </c>
      <c r="D50">
        <v>653</v>
      </c>
      <c r="E50">
        <v>905.84</v>
      </c>
      <c r="F50">
        <v>373</v>
      </c>
      <c r="G50">
        <v>492.36</v>
      </c>
      <c r="H50">
        <v>14.15</v>
      </c>
      <c r="I50" t="s">
        <v>31</v>
      </c>
      <c r="J50">
        <v>883</v>
      </c>
      <c r="K50">
        <v>45.81</v>
      </c>
      <c r="L50">
        <v>89</v>
      </c>
      <c r="M50">
        <v>98.62</v>
      </c>
      <c r="N50">
        <v>96.98</v>
      </c>
      <c r="O50">
        <v>202</v>
      </c>
      <c r="P50">
        <v>5.28</v>
      </c>
    </row>
    <row r="51" spans="1:16" x14ac:dyDescent="0.25">
      <c r="A51" t="s">
        <v>20</v>
      </c>
      <c r="B51" t="s">
        <v>30</v>
      </c>
      <c r="C51" t="s">
        <v>32</v>
      </c>
      <c r="D51">
        <v>1376</v>
      </c>
      <c r="E51">
        <v>777.78</v>
      </c>
      <c r="F51">
        <v>140</v>
      </c>
      <c r="G51">
        <v>482.38</v>
      </c>
      <c r="H51">
        <v>11.98</v>
      </c>
      <c r="I51" t="s">
        <v>29</v>
      </c>
      <c r="J51">
        <v>394</v>
      </c>
      <c r="K51">
        <v>10.93</v>
      </c>
      <c r="L51">
        <v>45</v>
      </c>
      <c r="M51">
        <v>90.63</v>
      </c>
      <c r="N51">
        <v>91.61</v>
      </c>
      <c r="O51">
        <v>442</v>
      </c>
      <c r="P51">
        <v>6.05</v>
      </c>
    </row>
    <row r="52" spans="1:16" x14ac:dyDescent="0.25">
      <c r="A52" t="s">
        <v>36</v>
      </c>
      <c r="B52" t="s">
        <v>21</v>
      </c>
      <c r="C52" t="s">
        <v>22</v>
      </c>
      <c r="D52">
        <v>1833</v>
      </c>
      <c r="E52">
        <v>1566.92</v>
      </c>
      <c r="F52">
        <v>62</v>
      </c>
      <c r="G52">
        <v>171.21</v>
      </c>
      <c r="H52">
        <v>17.03</v>
      </c>
      <c r="I52" t="s">
        <v>31</v>
      </c>
      <c r="J52">
        <v>833</v>
      </c>
      <c r="K52">
        <v>7.5</v>
      </c>
      <c r="L52">
        <v>419</v>
      </c>
      <c r="M52">
        <v>50.24</v>
      </c>
      <c r="N52">
        <v>90.03</v>
      </c>
      <c r="O52">
        <v>431</v>
      </c>
      <c r="P52">
        <v>4.18</v>
      </c>
    </row>
    <row r="53" spans="1:16" x14ac:dyDescent="0.25">
      <c r="A53" t="s">
        <v>41</v>
      </c>
      <c r="B53" t="s">
        <v>30</v>
      </c>
      <c r="C53" t="s">
        <v>37</v>
      </c>
      <c r="D53">
        <v>1961</v>
      </c>
      <c r="E53">
        <v>2829.87</v>
      </c>
      <c r="F53">
        <v>68</v>
      </c>
      <c r="G53">
        <v>243.09</v>
      </c>
      <c r="H53">
        <v>19.809999999999999</v>
      </c>
      <c r="I53" t="s">
        <v>29</v>
      </c>
      <c r="J53">
        <v>423</v>
      </c>
      <c r="K53">
        <v>13.45</v>
      </c>
      <c r="L53">
        <v>153</v>
      </c>
      <c r="M53">
        <v>70.67</v>
      </c>
      <c r="N53">
        <v>80.8</v>
      </c>
      <c r="O53">
        <v>498</v>
      </c>
      <c r="P53">
        <v>4.5199999999999996</v>
      </c>
    </row>
    <row r="54" spans="1:16" x14ac:dyDescent="0.25">
      <c r="A54" t="s">
        <v>43</v>
      </c>
      <c r="B54" t="s">
        <v>17</v>
      </c>
      <c r="C54" t="s">
        <v>18</v>
      </c>
      <c r="D54">
        <v>1264</v>
      </c>
      <c r="E54">
        <v>2493.02</v>
      </c>
      <c r="F54">
        <v>416</v>
      </c>
      <c r="G54">
        <v>153.22999999999999</v>
      </c>
      <c r="H54">
        <v>10.9</v>
      </c>
      <c r="I54" t="s">
        <v>31</v>
      </c>
      <c r="J54">
        <v>928</v>
      </c>
      <c r="K54">
        <v>30.04</v>
      </c>
      <c r="L54">
        <v>308</v>
      </c>
      <c r="M54">
        <v>80.5</v>
      </c>
      <c r="N54">
        <v>85.29</v>
      </c>
      <c r="O54">
        <v>318</v>
      </c>
      <c r="P54">
        <v>6.89</v>
      </c>
    </row>
    <row r="55" spans="1:16" x14ac:dyDescent="0.25">
      <c r="A55" t="s">
        <v>41</v>
      </c>
      <c r="B55" t="s">
        <v>30</v>
      </c>
      <c r="C55" t="s">
        <v>34</v>
      </c>
      <c r="D55">
        <v>1864</v>
      </c>
      <c r="E55">
        <v>1238.93</v>
      </c>
      <c r="F55">
        <v>320</v>
      </c>
      <c r="G55">
        <v>284.37</v>
      </c>
      <c r="H55">
        <v>26.88</v>
      </c>
      <c r="I55" t="s">
        <v>19</v>
      </c>
      <c r="J55">
        <v>948</v>
      </c>
      <c r="K55">
        <v>14.56</v>
      </c>
      <c r="L55">
        <v>231</v>
      </c>
      <c r="M55">
        <v>58.08</v>
      </c>
      <c r="N55">
        <v>93.79</v>
      </c>
      <c r="O55">
        <v>73</v>
      </c>
      <c r="P55">
        <v>7.92</v>
      </c>
    </row>
    <row r="56" spans="1:16" x14ac:dyDescent="0.25">
      <c r="A56" t="s">
        <v>36</v>
      </c>
      <c r="B56" t="s">
        <v>17</v>
      </c>
      <c r="C56" t="s">
        <v>22</v>
      </c>
      <c r="D56">
        <v>563</v>
      </c>
      <c r="E56">
        <v>932.56</v>
      </c>
      <c r="F56">
        <v>146</v>
      </c>
      <c r="G56">
        <v>77.34</v>
      </c>
      <c r="H56">
        <v>12.52</v>
      </c>
      <c r="I56" t="s">
        <v>19</v>
      </c>
      <c r="J56">
        <v>244</v>
      </c>
      <c r="K56">
        <v>28.59</v>
      </c>
      <c r="L56">
        <v>100</v>
      </c>
      <c r="M56">
        <v>86.39</v>
      </c>
      <c r="N56">
        <v>97.61</v>
      </c>
      <c r="O56">
        <v>169</v>
      </c>
      <c r="P56">
        <v>7.44</v>
      </c>
    </row>
    <row r="57" spans="1:16" x14ac:dyDescent="0.25">
      <c r="A57" t="s">
        <v>26</v>
      </c>
      <c r="B57" t="s">
        <v>27</v>
      </c>
      <c r="C57" t="s">
        <v>32</v>
      </c>
      <c r="D57">
        <v>1914</v>
      </c>
      <c r="E57">
        <v>1678.32</v>
      </c>
      <c r="F57">
        <v>176</v>
      </c>
      <c r="G57">
        <v>155.9</v>
      </c>
      <c r="H57">
        <v>11.67</v>
      </c>
      <c r="I57" t="s">
        <v>29</v>
      </c>
      <c r="J57">
        <v>409</v>
      </c>
      <c r="K57">
        <v>45.21</v>
      </c>
      <c r="L57">
        <v>248</v>
      </c>
      <c r="M57">
        <v>53.04</v>
      </c>
      <c r="N57">
        <v>98.97</v>
      </c>
      <c r="O57">
        <v>426</v>
      </c>
      <c r="P57">
        <v>3.51</v>
      </c>
    </row>
    <row r="58" spans="1:16" x14ac:dyDescent="0.25">
      <c r="A58" t="s">
        <v>20</v>
      </c>
      <c r="B58" t="s">
        <v>27</v>
      </c>
      <c r="C58" t="s">
        <v>35</v>
      </c>
      <c r="D58">
        <v>850</v>
      </c>
      <c r="E58">
        <v>941.4</v>
      </c>
      <c r="F58">
        <v>470</v>
      </c>
      <c r="G58">
        <v>317.85000000000002</v>
      </c>
      <c r="H58">
        <v>7.28</v>
      </c>
      <c r="I58" t="s">
        <v>29</v>
      </c>
      <c r="J58">
        <v>387</v>
      </c>
      <c r="K58">
        <v>5.48</v>
      </c>
      <c r="L58">
        <v>227</v>
      </c>
      <c r="M58">
        <v>93.78</v>
      </c>
      <c r="N58">
        <v>83.47</v>
      </c>
      <c r="O58">
        <v>458</v>
      </c>
      <c r="P58">
        <v>5.98</v>
      </c>
    </row>
    <row r="59" spans="1:16" x14ac:dyDescent="0.25">
      <c r="A59" t="s">
        <v>43</v>
      </c>
      <c r="B59" t="s">
        <v>30</v>
      </c>
      <c r="C59" t="s">
        <v>22</v>
      </c>
      <c r="D59">
        <v>845</v>
      </c>
      <c r="E59">
        <v>530.07000000000005</v>
      </c>
      <c r="F59">
        <v>368</v>
      </c>
      <c r="G59">
        <v>390.64</v>
      </c>
      <c r="H59">
        <v>21.72</v>
      </c>
      <c r="I59" t="s">
        <v>31</v>
      </c>
      <c r="J59">
        <v>453</v>
      </c>
      <c r="K59">
        <v>4.5599999999999996</v>
      </c>
      <c r="L59">
        <v>440</v>
      </c>
      <c r="M59">
        <v>78.09</v>
      </c>
      <c r="N59">
        <v>96.22</v>
      </c>
      <c r="O59">
        <v>118</v>
      </c>
      <c r="P59">
        <v>1.64</v>
      </c>
    </row>
    <row r="60" spans="1:16" x14ac:dyDescent="0.25">
      <c r="A60" t="s">
        <v>26</v>
      </c>
      <c r="B60" t="s">
        <v>23</v>
      </c>
      <c r="C60" t="s">
        <v>45</v>
      </c>
      <c r="D60">
        <v>314</v>
      </c>
      <c r="E60">
        <v>334.5</v>
      </c>
      <c r="F60">
        <v>152</v>
      </c>
      <c r="G60">
        <v>161.93</v>
      </c>
      <c r="H60">
        <v>6.2</v>
      </c>
      <c r="I60" t="s">
        <v>19</v>
      </c>
      <c r="J60">
        <v>261</v>
      </c>
      <c r="K60">
        <v>19.03</v>
      </c>
      <c r="L60">
        <v>131</v>
      </c>
      <c r="M60">
        <v>64.11</v>
      </c>
      <c r="N60">
        <v>95.7</v>
      </c>
      <c r="O60">
        <v>323</v>
      </c>
      <c r="P60">
        <v>2.73</v>
      </c>
    </row>
    <row r="61" spans="1:16" x14ac:dyDescent="0.25">
      <c r="A61" t="s">
        <v>42</v>
      </c>
      <c r="B61" t="s">
        <v>21</v>
      </c>
      <c r="C61" t="s">
        <v>18</v>
      </c>
      <c r="D61">
        <v>1516</v>
      </c>
      <c r="E61">
        <v>2009.79</v>
      </c>
      <c r="F61">
        <v>299</v>
      </c>
      <c r="G61">
        <v>171.97</v>
      </c>
      <c r="H61">
        <v>15.18</v>
      </c>
      <c r="I61" t="s">
        <v>29</v>
      </c>
      <c r="J61">
        <v>491</v>
      </c>
      <c r="K61">
        <v>2.36</v>
      </c>
      <c r="L61">
        <v>288</v>
      </c>
      <c r="M61">
        <v>61.1</v>
      </c>
      <c r="N61">
        <v>90.24</v>
      </c>
      <c r="O61">
        <v>347</v>
      </c>
      <c r="P61">
        <v>2.27</v>
      </c>
    </row>
    <row r="62" spans="1:16" x14ac:dyDescent="0.25">
      <c r="A62" t="s">
        <v>16</v>
      </c>
      <c r="B62" t="s">
        <v>30</v>
      </c>
      <c r="C62" t="s">
        <v>34</v>
      </c>
      <c r="D62">
        <v>1937</v>
      </c>
      <c r="E62">
        <v>2841.14</v>
      </c>
      <c r="F62">
        <v>311</v>
      </c>
      <c r="G62">
        <v>223.3</v>
      </c>
      <c r="H62">
        <v>28.75</v>
      </c>
      <c r="I62" t="s">
        <v>29</v>
      </c>
      <c r="J62">
        <v>897</v>
      </c>
      <c r="K62">
        <v>17.45</v>
      </c>
      <c r="L62">
        <v>200</v>
      </c>
      <c r="M62">
        <v>59.28</v>
      </c>
      <c r="N62">
        <v>90.37</v>
      </c>
      <c r="O62">
        <v>433</v>
      </c>
      <c r="P62">
        <v>8.85</v>
      </c>
    </row>
    <row r="63" spans="1:16" x14ac:dyDescent="0.25">
      <c r="A63" t="s">
        <v>36</v>
      </c>
      <c r="B63" t="s">
        <v>33</v>
      </c>
      <c r="C63" t="s">
        <v>28</v>
      </c>
      <c r="D63">
        <v>1065</v>
      </c>
      <c r="E63">
        <v>665.46</v>
      </c>
      <c r="F63">
        <v>450</v>
      </c>
      <c r="G63">
        <v>477.6</v>
      </c>
      <c r="H63">
        <v>15.16</v>
      </c>
      <c r="I63" t="s">
        <v>31</v>
      </c>
      <c r="J63">
        <v>878</v>
      </c>
      <c r="K63">
        <v>42.23</v>
      </c>
      <c r="L63">
        <v>196</v>
      </c>
      <c r="M63">
        <v>67.900000000000006</v>
      </c>
      <c r="N63">
        <v>82.97</v>
      </c>
      <c r="O63">
        <v>86</v>
      </c>
      <c r="P63">
        <v>9.8000000000000007</v>
      </c>
    </row>
    <row r="64" spans="1:16" x14ac:dyDescent="0.25">
      <c r="A64" t="s">
        <v>20</v>
      </c>
      <c r="B64" t="s">
        <v>30</v>
      </c>
      <c r="C64" t="s">
        <v>24</v>
      </c>
      <c r="D64">
        <v>1902</v>
      </c>
      <c r="E64">
        <v>2333.98</v>
      </c>
      <c r="F64">
        <v>290</v>
      </c>
      <c r="G64">
        <v>91.45</v>
      </c>
      <c r="H64">
        <v>14.11</v>
      </c>
      <c r="I64" t="s">
        <v>25</v>
      </c>
      <c r="J64">
        <v>785</v>
      </c>
      <c r="K64">
        <v>42.97</v>
      </c>
      <c r="L64">
        <v>95</v>
      </c>
      <c r="M64">
        <v>61.02</v>
      </c>
      <c r="N64">
        <v>87.65</v>
      </c>
      <c r="O64">
        <v>209</v>
      </c>
      <c r="P64">
        <v>2.21</v>
      </c>
    </row>
    <row r="65" spans="1:16" x14ac:dyDescent="0.25">
      <c r="A65" t="s">
        <v>41</v>
      </c>
      <c r="B65" t="s">
        <v>33</v>
      </c>
      <c r="C65" t="s">
        <v>45</v>
      </c>
      <c r="D65">
        <v>1972</v>
      </c>
      <c r="E65">
        <v>2144.4</v>
      </c>
      <c r="F65">
        <v>328</v>
      </c>
      <c r="G65">
        <v>424.99</v>
      </c>
      <c r="H65">
        <v>24.73</v>
      </c>
      <c r="I65" t="s">
        <v>25</v>
      </c>
      <c r="J65">
        <v>723</v>
      </c>
      <c r="K65">
        <v>37.770000000000003</v>
      </c>
      <c r="L65">
        <v>244</v>
      </c>
      <c r="M65">
        <v>74.430000000000007</v>
      </c>
      <c r="N65">
        <v>89.06</v>
      </c>
      <c r="O65">
        <v>197</v>
      </c>
      <c r="P65">
        <v>6.3</v>
      </c>
    </row>
    <row r="66" spans="1:16" x14ac:dyDescent="0.25">
      <c r="A66" t="s">
        <v>20</v>
      </c>
      <c r="B66" t="s">
        <v>33</v>
      </c>
      <c r="C66" t="s">
        <v>45</v>
      </c>
      <c r="D66">
        <v>1289</v>
      </c>
      <c r="E66">
        <v>1939.86</v>
      </c>
      <c r="F66">
        <v>112</v>
      </c>
      <c r="G66">
        <v>441.9</v>
      </c>
      <c r="H66">
        <v>26.98</v>
      </c>
      <c r="I66" t="s">
        <v>29</v>
      </c>
      <c r="J66">
        <v>912</v>
      </c>
      <c r="K66">
        <v>7.27</v>
      </c>
      <c r="L66">
        <v>25</v>
      </c>
      <c r="M66">
        <v>73.58</v>
      </c>
      <c r="N66">
        <v>86.13</v>
      </c>
      <c r="O66">
        <v>277</v>
      </c>
      <c r="P66">
        <v>6.32</v>
      </c>
    </row>
    <row r="67" spans="1:16" x14ac:dyDescent="0.25">
      <c r="A67" t="s">
        <v>43</v>
      </c>
      <c r="B67" t="s">
        <v>21</v>
      </c>
      <c r="C67" t="s">
        <v>32</v>
      </c>
      <c r="D67">
        <v>1435</v>
      </c>
      <c r="E67">
        <v>770.28</v>
      </c>
      <c r="F67">
        <v>37</v>
      </c>
      <c r="G67">
        <v>318.44</v>
      </c>
      <c r="H67">
        <v>10.119999999999999</v>
      </c>
      <c r="I67" t="s">
        <v>31</v>
      </c>
      <c r="J67">
        <v>370</v>
      </c>
      <c r="K67">
        <v>39.44</v>
      </c>
      <c r="L67">
        <v>87</v>
      </c>
      <c r="M67">
        <v>61.51</v>
      </c>
      <c r="N67">
        <v>88.75</v>
      </c>
      <c r="O67">
        <v>199</v>
      </c>
      <c r="P67">
        <v>6.81</v>
      </c>
    </row>
    <row r="68" spans="1:16" x14ac:dyDescent="0.25">
      <c r="A68" t="s">
        <v>42</v>
      </c>
      <c r="B68" t="s">
        <v>30</v>
      </c>
      <c r="C68" t="s">
        <v>35</v>
      </c>
      <c r="D68">
        <v>1838</v>
      </c>
      <c r="E68">
        <v>3238.79</v>
      </c>
      <c r="F68">
        <v>356</v>
      </c>
      <c r="G68">
        <v>338.4</v>
      </c>
      <c r="H68">
        <v>28.41</v>
      </c>
      <c r="I68" t="s">
        <v>31</v>
      </c>
      <c r="J68">
        <v>493</v>
      </c>
      <c r="K68">
        <v>27.31</v>
      </c>
      <c r="L68">
        <v>115</v>
      </c>
      <c r="M68">
        <v>64.06</v>
      </c>
      <c r="N68">
        <v>81.48</v>
      </c>
      <c r="O68">
        <v>123</v>
      </c>
      <c r="P68">
        <v>8.2899999999999991</v>
      </c>
    </row>
    <row r="69" spans="1:16" x14ac:dyDescent="0.25">
      <c r="A69" t="s">
        <v>38</v>
      </c>
      <c r="B69" t="s">
        <v>33</v>
      </c>
      <c r="C69" t="s">
        <v>35</v>
      </c>
      <c r="D69">
        <v>583</v>
      </c>
      <c r="E69">
        <v>291.99</v>
      </c>
      <c r="F69">
        <v>30</v>
      </c>
      <c r="G69">
        <v>43.21</v>
      </c>
      <c r="H69">
        <v>7.97</v>
      </c>
      <c r="I69" t="s">
        <v>29</v>
      </c>
      <c r="J69">
        <v>62</v>
      </c>
      <c r="K69">
        <v>47.85</v>
      </c>
      <c r="L69">
        <v>396</v>
      </c>
      <c r="M69">
        <v>55.68</v>
      </c>
      <c r="N69">
        <v>93.64</v>
      </c>
      <c r="O69">
        <v>468</v>
      </c>
      <c r="P69">
        <v>2.83</v>
      </c>
    </row>
    <row r="70" spans="1:16" x14ac:dyDescent="0.25">
      <c r="A70" t="s">
        <v>16</v>
      </c>
      <c r="B70" t="s">
        <v>23</v>
      </c>
      <c r="C70" t="s">
        <v>34</v>
      </c>
      <c r="D70">
        <v>674</v>
      </c>
      <c r="E70">
        <v>645.21</v>
      </c>
      <c r="F70">
        <v>143</v>
      </c>
      <c r="G70">
        <v>28.08</v>
      </c>
      <c r="H70">
        <v>27.34</v>
      </c>
      <c r="I70" t="s">
        <v>29</v>
      </c>
      <c r="J70">
        <v>423</v>
      </c>
      <c r="K70">
        <v>2.54</v>
      </c>
      <c r="L70">
        <v>176</v>
      </c>
      <c r="M70">
        <v>81.819999999999993</v>
      </c>
      <c r="N70">
        <v>89.52</v>
      </c>
      <c r="O70">
        <v>417</v>
      </c>
      <c r="P70">
        <v>7.97</v>
      </c>
    </row>
    <row r="71" spans="1:16" x14ac:dyDescent="0.25">
      <c r="A71" t="s">
        <v>36</v>
      </c>
      <c r="B71" t="s">
        <v>23</v>
      </c>
      <c r="C71" t="s">
        <v>24</v>
      </c>
      <c r="D71">
        <v>1961</v>
      </c>
      <c r="E71">
        <v>1093.2</v>
      </c>
      <c r="F71">
        <v>244</v>
      </c>
      <c r="G71">
        <v>274.83999999999997</v>
      </c>
      <c r="H71">
        <v>10.44</v>
      </c>
      <c r="I71" t="s">
        <v>29</v>
      </c>
      <c r="J71">
        <v>209</v>
      </c>
      <c r="K71">
        <v>17.3</v>
      </c>
      <c r="L71">
        <v>359</v>
      </c>
      <c r="M71">
        <v>88.63</v>
      </c>
      <c r="N71">
        <v>96.88</v>
      </c>
      <c r="O71">
        <v>332</v>
      </c>
      <c r="P71">
        <v>7.3</v>
      </c>
    </row>
    <row r="72" spans="1:16" x14ac:dyDescent="0.25">
      <c r="A72" t="s">
        <v>20</v>
      </c>
      <c r="B72" t="s">
        <v>23</v>
      </c>
      <c r="C72" t="s">
        <v>24</v>
      </c>
      <c r="D72">
        <v>1860</v>
      </c>
      <c r="E72">
        <v>1250.7</v>
      </c>
      <c r="F72">
        <v>320</v>
      </c>
      <c r="G72">
        <v>341.37</v>
      </c>
      <c r="H72">
        <v>19.559999999999999</v>
      </c>
      <c r="I72" t="s">
        <v>31</v>
      </c>
      <c r="J72">
        <v>897</v>
      </c>
      <c r="K72">
        <v>42.31</v>
      </c>
      <c r="L72">
        <v>471</v>
      </c>
      <c r="M72">
        <v>55.18</v>
      </c>
      <c r="N72">
        <v>82.34</v>
      </c>
      <c r="O72">
        <v>55</v>
      </c>
      <c r="P72">
        <v>1.31</v>
      </c>
    </row>
    <row r="73" spans="1:16" x14ac:dyDescent="0.25">
      <c r="A73" t="s">
        <v>20</v>
      </c>
      <c r="B73" t="s">
        <v>23</v>
      </c>
      <c r="C73" t="s">
        <v>22</v>
      </c>
      <c r="D73">
        <v>78</v>
      </c>
      <c r="E73">
        <v>94.36</v>
      </c>
      <c r="F73">
        <v>75</v>
      </c>
      <c r="G73">
        <v>462.09</v>
      </c>
      <c r="H73">
        <v>16.12</v>
      </c>
      <c r="I73" t="s">
        <v>31</v>
      </c>
      <c r="J73">
        <v>969</v>
      </c>
      <c r="K73">
        <v>9.8000000000000007</v>
      </c>
      <c r="L73">
        <v>202</v>
      </c>
      <c r="M73">
        <v>67.77</v>
      </c>
      <c r="N73">
        <v>95.09</v>
      </c>
      <c r="O73">
        <v>410</v>
      </c>
      <c r="P73">
        <v>7.16</v>
      </c>
    </row>
    <row r="74" spans="1:16" x14ac:dyDescent="0.25">
      <c r="A74" t="s">
        <v>38</v>
      </c>
      <c r="B74" t="s">
        <v>23</v>
      </c>
      <c r="C74" t="s">
        <v>40</v>
      </c>
      <c r="D74">
        <v>1281</v>
      </c>
      <c r="E74">
        <v>1572.81</v>
      </c>
      <c r="F74">
        <v>223</v>
      </c>
      <c r="G74">
        <v>491.52</v>
      </c>
      <c r="H74">
        <v>18.98</v>
      </c>
      <c r="I74" t="s">
        <v>19</v>
      </c>
      <c r="J74">
        <v>28</v>
      </c>
      <c r="K74">
        <v>38.83</v>
      </c>
      <c r="L74">
        <v>355</v>
      </c>
      <c r="M74">
        <v>65.41</v>
      </c>
      <c r="N74">
        <v>89.4</v>
      </c>
      <c r="O74">
        <v>214</v>
      </c>
      <c r="P74">
        <v>1.29</v>
      </c>
    </row>
    <row r="75" spans="1:16" x14ac:dyDescent="0.25">
      <c r="A75" t="s">
        <v>42</v>
      </c>
      <c r="B75" t="s">
        <v>23</v>
      </c>
      <c r="C75" t="s">
        <v>44</v>
      </c>
      <c r="D75">
        <v>612</v>
      </c>
      <c r="E75">
        <v>1083.08</v>
      </c>
      <c r="F75">
        <v>386</v>
      </c>
      <c r="G75">
        <v>209.7</v>
      </c>
      <c r="H75">
        <v>8.3000000000000007</v>
      </c>
      <c r="I75" t="s">
        <v>19</v>
      </c>
      <c r="J75">
        <v>902</v>
      </c>
      <c r="K75">
        <v>37.979999999999997</v>
      </c>
      <c r="L75">
        <v>370</v>
      </c>
      <c r="M75">
        <v>72.84</v>
      </c>
      <c r="N75">
        <v>95.42</v>
      </c>
      <c r="O75">
        <v>288</v>
      </c>
      <c r="P75">
        <v>1.91</v>
      </c>
    </row>
    <row r="76" spans="1:16" x14ac:dyDescent="0.25">
      <c r="A76" t="s">
        <v>36</v>
      </c>
      <c r="B76" t="s">
        <v>21</v>
      </c>
      <c r="C76" t="s">
        <v>28</v>
      </c>
      <c r="D76">
        <v>1729</v>
      </c>
      <c r="E76">
        <v>2736.91</v>
      </c>
      <c r="F76">
        <v>386</v>
      </c>
      <c r="G76">
        <v>256.51</v>
      </c>
      <c r="H76">
        <v>22.6</v>
      </c>
      <c r="I76" t="s">
        <v>29</v>
      </c>
      <c r="J76">
        <v>392</v>
      </c>
      <c r="K76">
        <v>17.54</v>
      </c>
      <c r="L76">
        <v>303</v>
      </c>
      <c r="M76">
        <v>78.05</v>
      </c>
      <c r="N76">
        <v>89.29</v>
      </c>
      <c r="O76">
        <v>91</v>
      </c>
      <c r="P76">
        <v>2.11</v>
      </c>
    </row>
    <row r="77" spans="1:16" x14ac:dyDescent="0.25">
      <c r="A77" t="s">
        <v>43</v>
      </c>
      <c r="B77" t="s">
        <v>30</v>
      </c>
      <c r="C77" t="s">
        <v>35</v>
      </c>
      <c r="D77">
        <v>715</v>
      </c>
      <c r="E77">
        <v>1357.24</v>
      </c>
      <c r="F77">
        <v>441</v>
      </c>
      <c r="G77">
        <v>314.8</v>
      </c>
      <c r="H77">
        <v>5.73</v>
      </c>
      <c r="I77" t="s">
        <v>19</v>
      </c>
      <c r="J77">
        <v>693</v>
      </c>
      <c r="K77">
        <v>36.54</v>
      </c>
      <c r="L77">
        <v>326</v>
      </c>
      <c r="M77">
        <v>88.09</v>
      </c>
      <c r="N77">
        <v>91.79</v>
      </c>
      <c r="O77">
        <v>243</v>
      </c>
      <c r="P77">
        <v>2.17</v>
      </c>
    </row>
    <row r="78" spans="1:16" x14ac:dyDescent="0.25">
      <c r="A78" t="s">
        <v>20</v>
      </c>
      <c r="B78" t="s">
        <v>21</v>
      </c>
      <c r="C78" t="s">
        <v>44</v>
      </c>
      <c r="D78">
        <v>562</v>
      </c>
      <c r="E78">
        <v>803.1</v>
      </c>
      <c r="F78">
        <v>210</v>
      </c>
      <c r="G78">
        <v>301.94</v>
      </c>
      <c r="H78">
        <v>27.2</v>
      </c>
      <c r="I78" t="s">
        <v>19</v>
      </c>
      <c r="J78">
        <v>928</v>
      </c>
      <c r="K78">
        <v>15.75</v>
      </c>
      <c r="L78">
        <v>372</v>
      </c>
      <c r="M78">
        <v>54.2</v>
      </c>
      <c r="N78">
        <v>90.5</v>
      </c>
      <c r="O78">
        <v>388</v>
      </c>
      <c r="P78">
        <v>2.87</v>
      </c>
    </row>
    <row r="79" spans="1:16" x14ac:dyDescent="0.25">
      <c r="A79" t="s">
        <v>41</v>
      </c>
      <c r="B79" t="s">
        <v>17</v>
      </c>
      <c r="C79" t="s">
        <v>37</v>
      </c>
      <c r="D79">
        <v>1890</v>
      </c>
      <c r="E79">
        <v>2882.39</v>
      </c>
      <c r="F79">
        <v>489</v>
      </c>
      <c r="G79">
        <v>20.57</v>
      </c>
      <c r="H79">
        <v>29.69</v>
      </c>
      <c r="I79" t="s">
        <v>25</v>
      </c>
      <c r="J79">
        <v>407</v>
      </c>
      <c r="K79">
        <v>41.34</v>
      </c>
      <c r="L79">
        <v>225</v>
      </c>
      <c r="M79">
        <v>89.19</v>
      </c>
      <c r="N79">
        <v>81.14</v>
      </c>
      <c r="O79">
        <v>195</v>
      </c>
      <c r="P79">
        <v>2.33</v>
      </c>
    </row>
    <row r="80" spans="1:16" x14ac:dyDescent="0.25">
      <c r="A80" t="s">
        <v>42</v>
      </c>
      <c r="B80" t="s">
        <v>30</v>
      </c>
      <c r="C80" t="s">
        <v>37</v>
      </c>
      <c r="D80">
        <v>1655</v>
      </c>
      <c r="E80">
        <v>1966.65</v>
      </c>
      <c r="F80">
        <v>125</v>
      </c>
      <c r="G80">
        <v>119.55</v>
      </c>
      <c r="H80">
        <v>12.68</v>
      </c>
      <c r="I80" t="s">
        <v>25</v>
      </c>
      <c r="J80">
        <v>574</v>
      </c>
      <c r="K80">
        <v>46.44</v>
      </c>
      <c r="L80">
        <v>442</v>
      </c>
      <c r="M80">
        <v>76.599999999999994</v>
      </c>
      <c r="N80">
        <v>90.75</v>
      </c>
      <c r="O80">
        <v>74</v>
      </c>
      <c r="P80">
        <v>4.01</v>
      </c>
    </row>
    <row r="81" spans="1:16" x14ac:dyDescent="0.25">
      <c r="A81" t="s">
        <v>36</v>
      </c>
      <c r="B81" t="s">
        <v>27</v>
      </c>
      <c r="C81" t="s">
        <v>24</v>
      </c>
      <c r="D81">
        <v>1150</v>
      </c>
      <c r="E81">
        <v>1186.8</v>
      </c>
      <c r="F81">
        <v>471</v>
      </c>
      <c r="G81">
        <v>60.68</v>
      </c>
      <c r="H81">
        <v>6.85</v>
      </c>
      <c r="I81" t="s">
        <v>29</v>
      </c>
      <c r="J81">
        <v>689</v>
      </c>
      <c r="K81">
        <v>22.07</v>
      </c>
      <c r="L81">
        <v>392</v>
      </c>
      <c r="M81">
        <v>96.23</v>
      </c>
      <c r="N81">
        <v>88.4</v>
      </c>
      <c r="O81">
        <v>319</v>
      </c>
      <c r="P81">
        <v>2.38</v>
      </c>
    </row>
    <row r="82" spans="1:16" x14ac:dyDescent="0.25">
      <c r="A82" t="s">
        <v>41</v>
      </c>
      <c r="B82" t="s">
        <v>17</v>
      </c>
      <c r="C82" t="s">
        <v>37</v>
      </c>
      <c r="D82">
        <v>321</v>
      </c>
      <c r="E82">
        <v>637.58000000000004</v>
      </c>
      <c r="F82">
        <v>353</v>
      </c>
      <c r="G82">
        <v>202.17</v>
      </c>
      <c r="H82">
        <v>16.98</v>
      </c>
      <c r="I82" t="s">
        <v>19</v>
      </c>
      <c r="J82">
        <v>143</v>
      </c>
      <c r="K82">
        <v>9.1</v>
      </c>
      <c r="L82">
        <v>242</v>
      </c>
      <c r="M82">
        <v>77.34</v>
      </c>
      <c r="N82">
        <v>81.010000000000005</v>
      </c>
      <c r="O82">
        <v>492</v>
      </c>
      <c r="P82">
        <v>3.56</v>
      </c>
    </row>
    <row r="83" spans="1:16" x14ac:dyDescent="0.25">
      <c r="A83" t="s">
        <v>42</v>
      </c>
      <c r="B83" t="s">
        <v>27</v>
      </c>
      <c r="C83" t="s">
        <v>39</v>
      </c>
      <c r="D83">
        <v>1039</v>
      </c>
      <c r="E83">
        <v>1167.8699999999999</v>
      </c>
      <c r="F83">
        <v>483</v>
      </c>
      <c r="G83">
        <v>112</v>
      </c>
      <c r="H83">
        <v>9.61</v>
      </c>
      <c r="I83" t="s">
        <v>29</v>
      </c>
      <c r="J83">
        <v>78</v>
      </c>
      <c r="K83">
        <v>44.38</v>
      </c>
      <c r="L83">
        <v>52</v>
      </c>
      <c r="M83">
        <v>75.209999999999994</v>
      </c>
      <c r="N83">
        <v>83.02</v>
      </c>
      <c r="O83">
        <v>249</v>
      </c>
      <c r="P83">
        <v>2.38</v>
      </c>
    </row>
    <row r="84" spans="1:16" x14ac:dyDescent="0.25">
      <c r="A84" t="s">
        <v>20</v>
      </c>
      <c r="B84" t="s">
        <v>27</v>
      </c>
      <c r="C84" t="s">
        <v>45</v>
      </c>
      <c r="D84">
        <v>859</v>
      </c>
      <c r="E84">
        <v>534.82000000000005</v>
      </c>
      <c r="F84">
        <v>74</v>
      </c>
      <c r="G84">
        <v>239.66</v>
      </c>
      <c r="H84">
        <v>12.53</v>
      </c>
      <c r="I84" t="s">
        <v>29</v>
      </c>
      <c r="J84">
        <v>138</v>
      </c>
      <c r="K84">
        <v>48.62</v>
      </c>
      <c r="L84">
        <v>328</v>
      </c>
      <c r="M84">
        <v>60.81</v>
      </c>
      <c r="N84">
        <v>96.85</v>
      </c>
      <c r="O84">
        <v>342</v>
      </c>
      <c r="P84">
        <v>2.57</v>
      </c>
    </row>
    <row r="85" spans="1:16" x14ac:dyDescent="0.25">
      <c r="A85" t="s">
        <v>42</v>
      </c>
      <c r="B85" t="s">
        <v>33</v>
      </c>
      <c r="C85" t="s">
        <v>37</v>
      </c>
      <c r="D85">
        <v>1488</v>
      </c>
      <c r="E85">
        <v>1818.45</v>
      </c>
      <c r="F85">
        <v>256</v>
      </c>
      <c r="G85">
        <v>213.07</v>
      </c>
      <c r="H85">
        <v>23.06</v>
      </c>
      <c r="I85" t="s">
        <v>25</v>
      </c>
      <c r="J85">
        <v>936</v>
      </c>
      <c r="K85">
        <v>41.21</v>
      </c>
      <c r="L85">
        <v>270</v>
      </c>
      <c r="M85">
        <v>89.67</v>
      </c>
      <c r="N85">
        <v>94.9</v>
      </c>
      <c r="O85">
        <v>249</v>
      </c>
      <c r="P85">
        <v>5.53</v>
      </c>
    </row>
    <row r="86" spans="1:16" x14ac:dyDescent="0.25">
      <c r="A86" t="s">
        <v>41</v>
      </c>
      <c r="B86" t="s">
        <v>23</v>
      </c>
      <c r="C86" t="s">
        <v>44</v>
      </c>
      <c r="D86">
        <v>1186</v>
      </c>
      <c r="E86">
        <v>1081.8800000000001</v>
      </c>
      <c r="F86">
        <v>205</v>
      </c>
      <c r="G86">
        <v>89.58</v>
      </c>
      <c r="H86">
        <v>6.08</v>
      </c>
      <c r="I86" t="s">
        <v>19</v>
      </c>
      <c r="J86">
        <v>585</v>
      </c>
      <c r="K86">
        <v>32.47</v>
      </c>
      <c r="L86">
        <v>113</v>
      </c>
      <c r="M86">
        <v>87.85</v>
      </c>
      <c r="N86">
        <v>85.63</v>
      </c>
      <c r="O86">
        <v>291</v>
      </c>
      <c r="P86">
        <v>3.14</v>
      </c>
    </row>
    <row r="87" spans="1:16" x14ac:dyDescent="0.25">
      <c r="A87" t="s">
        <v>42</v>
      </c>
      <c r="B87" t="s">
        <v>21</v>
      </c>
      <c r="C87" t="s">
        <v>35</v>
      </c>
      <c r="D87">
        <v>1965</v>
      </c>
      <c r="E87">
        <v>1614.1</v>
      </c>
      <c r="F87">
        <v>138</v>
      </c>
      <c r="G87">
        <v>485.36</v>
      </c>
      <c r="H87">
        <v>29.48</v>
      </c>
      <c r="I87" t="s">
        <v>25</v>
      </c>
      <c r="J87">
        <v>562</v>
      </c>
      <c r="K87">
        <v>3.34</v>
      </c>
      <c r="L87">
        <v>451</v>
      </c>
      <c r="M87">
        <v>54.4</v>
      </c>
      <c r="N87">
        <v>90.16</v>
      </c>
      <c r="O87">
        <v>369</v>
      </c>
      <c r="P87">
        <v>8.24</v>
      </c>
    </row>
    <row r="88" spans="1:16" x14ac:dyDescent="0.25">
      <c r="A88" t="s">
        <v>26</v>
      </c>
      <c r="B88" t="s">
        <v>30</v>
      </c>
      <c r="C88" t="s">
        <v>44</v>
      </c>
      <c r="D88">
        <v>1773</v>
      </c>
      <c r="E88">
        <v>1497.23</v>
      </c>
      <c r="F88">
        <v>259</v>
      </c>
      <c r="G88">
        <v>325.11</v>
      </c>
      <c r="H88">
        <v>25.39</v>
      </c>
      <c r="I88" t="s">
        <v>19</v>
      </c>
      <c r="J88">
        <v>949</v>
      </c>
      <c r="K88">
        <v>32.76</v>
      </c>
      <c r="L88">
        <v>230</v>
      </c>
      <c r="M88">
        <v>95.83</v>
      </c>
      <c r="N88">
        <v>80.23</v>
      </c>
      <c r="O88">
        <v>416</v>
      </c>
      <c r="P88">
        <v>9.73</v>
      </c>
    </row>
    <row r="89" spans="1:16" x14ac:dyDescent="0.25">
      <c r="A89" t="s">
        <v>38</v>
      </c>
      <c r="B89" t="s">
        <v>21</v>
      </c>
      <c r="C89" t="s">
        <v>24</v>
      </c>
      <c r="D89">
        <v>1462</v>
      </c>
      <c r="E89">
        <v>1405.23</v>
      </c>
      <c r="F89">
        <v>392</v>
      </c>
      <c r="G89">
        <v>376.07</v>
      </c>
      <c r="H89">
        <v>19.64</v>
      </c>
      <c r="I89" t="s">
        <v>19</v>
      </c>
      <c r="J89">
        <v>921</v>
      </c>
      <c r="K89">
        <v>41.87</v>
      </c>
      <c r="L89">
        <v>239</v>
      </c>
      <c r="M89">
        <v>55.29</v>
      </c>
      <c r="N89">
        <v>84.21</v>
      </c>
      <c r="O89">
        <v>339</v>
      </c>
      <c r="P89">
        <v>6.2</v>
      </c>
    </row>
    <row r="90" spans="1:16" x14ac:dyDescent="0.25">
      <c r="A90" t="s">
        <v>43</v>
      </c>
      <c r="B90" t="s">
        <v>21</v>
      </c>
      <c r="C90" t="s">
        <v>37</v>
      </c>
      <c r="D90">
        <v>1033</v>
      </c>
      <c r="E90">
        <v>1173.57</v>
      </c>
      <c r="F90">
        <v>217</v>
      </c>
      <c r="G90">
        <v>316.49</v>
      </c>
      <c r="H90">
        <v>25.85</v>
      </c>
      <c r="I90" t="s">
        <v>31</v>
      </c>
      <c r="J90">
        <v>22</v>
      </c>
      <c r="K90">
        <v>24.79</v>
      </c>
      <c r="L90">
        <v>471</v>
      </c>
      <c r="M90">
        <v>89.65</v>
      </c>
      <c r="N90">
        <v>93.44</v>
      </c>
      <c r="O90">
        <v>178</v>
      </c>
      <c r="P90">
        <v>9.58</v>
      </c>
    </row>
    <row r="91" spans="1:16" x14ac:dyDescent="0.25">
      <c r="A91" t="s">
        <v>26</v>
      </c>
      <c r="B91" t="s">
        <v>17</v>
      </c>
      <c r="C91" t="s">
        <v>34</v>
      </c>
      <c r="D91">
        <v>169</v>
      </c>
      <c r="E91">
        <v>297.43</v>
      </c>
      <c r="F91">
        <v>278</v>
      </c>
      <c r="G91">
        <v>125.98</v>
      </c>
      <c r="H91">
        <v>14.55</v>
      </c>
      <c r="I91" t="s">
        <v>25</v>
      </c>
      <c r="J91">
        <v>389</v>
      </c>
      <c r="K91">
        <v>30.78</v>
      </c>
      <c r="L91">
        <v>295</v>
      </c>
      <c r="M91">
        <v>95.71</v>
      </c>
      <c r="N91">
        <v>95.56</v>
      </c>
      <c r="O91">
        <v>428</v>
      </c>
      <c r="P91">
        <v>2</v>
      </c>
    </row>
    <row r="92" spans="1:16" x14ac:dyDescent="0.25">
      <c r="A92" t="s">
        <v>43</v>
      </c>
      <c r="B92" t="s">
        <v>17</v>
      </c>
      <c r="C92" t="s">
        <v>45</v>
      </c>
      <c r="D92">
        <v>1220</v>
      </c>
      <c r="E92">
        <v>2202.3200000000002</v>
      </c>
      <c r="F92">
        <v>183</v>
      </c>
      <c r="G92">
        <v>305.89</v>
      </c>
      <c r="H92">
        <v>13.24</v>
      </c>
      <c r="I92" t="s">
        <v>31</v>
      </c>
      <c r="J92">
        <v>613</v>
      </c>
      <c r="K92">
        <v>10.24</v>
      </c>
      <c r="L92">
        <v>335</v>
      </c>
      <c r="M92">
        <v>56.44</v>
      </c>
      <c r="N92">
        <v>94.27</v>
      </c>
      <c r="O92">
        <v>328</v>
      </c>
      <c r="P92">
        <v>5.76</v>
      </c>
    </row>
    <row r="93" spans="1:16" x14ac:dyDescent="0.25">
      <c r="A93" t="s">
        <v>36</v>
      </c>
      <c r="B93" t="s">
        <v>17</v>
      </c>
      <c r="C93" t="s">
        <v>45</v>
      </c>
      <c r="D93">
        <v>836</v>
      </c>
      <c r="E93">
        <v>1655.61</v>
      </c>
      <c r="F93">
        <v>109</v>
      </c>
      <c r="G93">
        <v>26.95</v>
      </c>
      <c r="H93">
        <v>16.23</v>
      </c>
      <c r="I93" t="s">
        <v>25</v>
      </c>
      <c r="J93">
        <v>888</v>
      </c>
      <c r="K93">
        <v>18.32</v>
      </c>
      <c r="L93">
        <v>369</v>
      </c>
      <c r="M93">
        <v>83.48</v>
      </c>
      <c r="N93">
        <v>90.18</v>
      </c>
      <c r="O93">
        <v>278</v>
      </c>
      <c r="P93">
        <v>7.74</v>
      </c>
    </row>
    <row r="94" spans="1:16" x14ac:dyDescent="0.25">
      <c r="A94" t="s">
        <v>36</v>
      </c>
      <c r="B94" t="s">
        <v>23</v>
      </c>
      <c r="C94" t="s">
        <v>34</v>
      </c>
      <c r="D94">
        <v>1678</v>
      </c>
      <c r="E94">
        <v>942.54</v>
      </c>
      <c r="F94">
        <v>213</v>
      </c>
      <c r="G94">
        <v>10.39</v>
      </c>
      <c r="H94">
        <v>7.18</v>
      </c>
      <c r="I94" t="s">
        <v>25</v>
      </c>
      <c r="J94">
        <v>593</v>
      </c>
      <c r="K94">
        <v>48.1</v>
      </c>
      <c r="L94">
        <v>500</v>
      </c>
      <c r="M94">
        <v>81.540000000000006</v>
      </c>
      <c r="N94">
        <v>95.94</v>
      </c>
      <c r="O94">
        <v>63</v>
      </c>
      <c r="P94">
        <v>8.7899999999999991</v>
      </c>
    </row>
    <row r="95" spans="1:16" x14ac:dyDescent="0.25">
      <c r="A95" t="s">
        <v>26</v>
      </c>
      <c r="B95" t="s">
        <v>30</v>
      </c>
      <c r="C95" t="s">
        <v>37</v>
      </c>
      <c r="D95">
        <v>281</v>
      </c>
      <c r="E95">
        <v>443.48</v>
      </c>
      <c r="F95">
        <v>45</v>
      </c>
      <c r="G95">
        <v>486.25</v>
      </c>
      <c r="H95">
        <v>11.52</v>
      </c>
      <c r="I95" t="s">
        <v>29</v>
      </c>
      <c r="J95">
        <v>692</v>
      </c>
      <c r="K95">
        <v>37.450000000000003</v>
      </c>
      <c r="L95">
        <v>430</v>
      </c>
      <c r="M95">
        <v>52.45</v>
      </c>
      <c r="N95">
        <v>97.41</v>
      </c>
      <c r="O95">
        <v>401</v>
      </c>
      <c r="P95">
        <v>8.58</v>
      </c>
    </row>
    <row r="96" spans="1:16" x14ac:dyDescent="0.25">
      <c r="A96" t="s">
        <v>20</v>
      </c>
      <c r="B96" t="s">
        <v>27</v>
      </c>
      <c r="C96" t="s">
        <v>24</v>
      </c>
      <c r="D96">
        <v>495</v>
      </c>
      <c r="E96">
        <v>421.27</v>
      </c>
      <c r="F96">
        <v>197</v>
      </c>
      <c r="G96">
        <v>488.08</v>
      </c>
      <c r="H96">
        <v>8.93</v>
      </c>
      <c r="I96" t="s">
        <v>29</v>
      </c>
      <c r="J96">
        <v>87</v>
      </c>
      <c r="K96">
        <v>21.92</v>
      </c>
      <c r="L96">
        <v>396</v>
      </c>
      <c r="M96">
        <v>96.46</v>
      </c>
      <c r="N96">
        <v>93.11</v>
      </c>
      <c r="O96">
        <v>474</v>
      </c>
      <c r="P96">
        <v>5.31</v>
      </c>
    </row>
    <row r="97" spans="1:16" x14ac:dyDescent="0.25">
      <c r="A97" t="s">
        <v>38</v>
      </c>
      <c r="B97" t="s">
        <v>30</v>
      </c>
      <c r="C97" t="s">
        <v>39</v>
      </c>
      <c r="D97">
        <v>570</v>
      </c>
      <c r="E97">
        <v>1102.3900000000001</v>
      </c>
      <c r="F97">
        <v>499</v>
      </c>
      <c r="G97">
        <v>334.33</v>
      </c>
      <c r="H97">
        <v>10.64</v>
      </c>
      <c r="I97" t="s">
        <v>29</v>
      </c>
      <c r="J97">
        <v>532</v>
      </c>
      <c r="K97">
        <v>25.28</v>
      </c>
      <c r="L97">
        <v>474</v>
      </c>
      <c r="M97">
        <v>77.03</v>
      </c>
      <c r="N97">
        <v>94.3</v>
      </c>
      <c r="O97">
        <v>471</v>
      </c>
      <c r="P97">
        <v>7.05</v>
      </c>
    </row>
    <row r="98" spans="1:16" x14ac:dyDescent="0.25">
      <c r="A98" t="s">
        <v>36</v>
      </c>
      <c r="B98" t="s">
        <v>33</v>
      </c>
      <c r="C98" t="s">
        <v>24</v>
      </c>
      <c r="D98">
        <v>1107</v>
      </c>
      <c r="E98">
        <v>816.66</v>
      </c>
      <c r="F98">
        <v>35</v>
      </c>
      <c r="G98">
        <v>347.83</v>
      </c>
      <c r="H98">
        <v>15.29</v>
      </c>
      <c r="I98" t="s">
        <v>29</v>
      </c>
      <c r="J98">
        <v>776</v>
      </c>
      <c r="K98">
        <v>36.81</v>
      </c>
      <c r="L98">
        <v>165</v>
      </c>
      <c r="M98">
        <v>94.86</v>
      </c>
      <c r="N98">
        <v>97.3</v>
      </c>
      <c r="O98">
        <v>426</v>
      </c>
      <c r="P98">
        <v>9.9499999999999993</v>
      </c>
    </row>
    <row r="99" spans="1:16" x14ac:dyDescent="0.25">
      <c r="A99" t="s">
        <v>43</v>
      </c>
      <c r="B99" t="s">
        <v>23</v>
      </c>
      <c r="C99" t="s">
        <v>37</v>
      </c>
      <c r="D99">
        <v>213</v>
      </c>
      <c r="E99">
        <v>403.62</v>
      </c>
      <c r="F99">
        <v>472</v>
      </c>
      <c r="G99">
        <v>96.14</v>
      </c>
      <c r="H99">
        <v>11.87</v>
      </c>
      <c r="I99" t="s">
        <v>29</v>
      </c>
      <c r="J99">
        <v>427</v>
      </c>
      <c r="K99">
        <v>10.48</v>
      </c>
      <c r="L99">
        <v>226</v>
      </c>
      <c r="M99">
        <v>87.9</v>
      </c>
      <c r="N99">
        <v>90.53</v>
      </c>
      <c r="O99">
        <v>190</v>
      </c>
      <c r="P99">
        <v>2.65</v>
      </c>
    </row>
    <row r="100" spans="1:16" x14ac:dyDescent="0.25">
      <c r="A100" t="s">
        <v>38</v>
      </c>
      <c r="B100" t="s">
        <v>30</v>
      </c>
      <c r="C100" t="s">
        <v>34</v>
      </c>
      <c r="D100">
        <v>498</v>
      </c>
      <c r="E100">
        <v>899.29</v>
      </c>
      <c r="F100">
        <v>86</v>
      </c>
      <c r="G100">
        <v>80.5</v>
      </c>
      <c r="H100">
        <v>16.46</v>
      </c>
      <c r="I100" t="s">
        <v>25</v>
      </c>
      <c r="J100">
        <v>645</v>
      </c>
      <c r="K100">
        <v>35.18</v>
      </c>
      <c r="L100">
        <v>225</v>
      </c>
      <c r="M100">
        <v>92.72</v>
      </c>
      <c r="N100">
        <v>92.28</v>
      </c>
      <c r="O100">
        <v>266</v>
      </c>
      <c r="P100">
        <v>3.49</v>
      </c>
    </row>
    <row r="101" spans="1:16" x14ac:dyDescent="0.25">
      <c r="A101" t="s">
        <v>42</v>
      </c>
      <c r="B101" t="s">
        <v>27</v>
      </c>
      <c r="C101" t="s">
        <v>32</v>
      </c>
      <c r="D101">
        <v>375</v>
      </c>
      <c r="E101">
        <v>496.66</v>
      </c>
      <c r="F101">
        <v>279</v>
      </c>
      <c r="G101">
        <v>18.63</v>
      </c>
      <c r="H101">
        <v>28.54</v>
      </c>
      <c r="I101" t="s">
        <v>31</v>
      </c>
      <c r="J101">
        <v>684</v>
      </c>
      <c r="K101">
        <v>5.79</v>
      </c>
      <c r="L101">
        <v>78</v>
      </c>
      <c r="M101">
        <v>88.02</v>
      </c>
      <c r="N101">
        <v>95.95</v>
      </c>
      <c r="O101">
        <v>168</v>
      </c>
      <c r="P101">
        <v>7.66</v>
      </c>
    </row>
    <row r="102" spans="1:16" x14ac:dyDescent="0.25">
      <c r="A102" t="s">
        <v>43</v>
      </c>
      <c r="B102" t="s">
        <v>27</v>
      </c>
      <c r="C102" t="s">
        <v>18</v>
      </c>
      <c r="D102">
        <v>501</v>
      </c>
      <c r="E102">
        <v>769.32</v>
      </c>
      <c r="F102">
        <v>125</v>
      </c>
      <c r="G102">
        <v>56.04</v>
      </c>
      <c r="H102">
        <v>27.89</v>
      </c>
      <c r="I102" t="s">
        <v>31</v>
      </c>
      <c r="J102">
        <v>687</v>
      </c>
      <c r="K102">
        <v>49.04</v>
      </c>
      <c r="L102">
        <v>210</v>
      </c>
      <c r="M102">
        <v>67.489999999999995</v>
      </c>
      <c r="N102">
        <v>80.31</v>
      </c>
      <c r="O102">
        <v>90</v>
      </c>
      <c r="P102">
        <v>4.58</v>
      </c>
    </row>
    <row r="103" spans="1:16" x14ac:dyDescent="0.25">
      <c r="A103" t="s">
        <v>36</v>
      </c>
      <c r="B103" t="s">
        <v>30</v>
      </c>
      <c r="C103" t="s">
        <v>32</v>
      </c>
      <c r="D103">
        <v>1337</v>
      </c>
      <c r="E103">
        <v>673.5</v>
      </c>
      <c r="F103">
        <v>440</v>
      </c>
      <c r="G103">
        <v>259.52999999999997</v>
      </c>
      <c r="H103">
        <v>9.2200000000000006</v>
      </c>
      <c r="I103" t="s">
        <v>19</v>
      </c>
      <c r="J103">
        <v>38</v>
      </c>
      <c r="K103">
        <v>24.53</v>
      </c>
      <c r="L103">
        <v>155</v>
      </c>
      <c r="M103">
        <v>85.96</v>
      </c>
      <c r="N103">
        <v>92.78</v>
      </c>
      <c r="O103">
        <v>231</v>
      </c>
      <c r="P103">
        <v>3.28</v>
      </c>
    </row>
    <row r="104" spans="1:16" x14ac:dyDescent="0.25">
      <c r="A104" t="s">
        <v>38</v>
      </c>
      <c r="B104" t="s">
        <v>21</v>
      </c>
      <c r="C104" t="s">
        <v>34</v>
      </c>
      <c r="D104">
        <v>249</v>
      </c>
      <c r="E104">
        <v>342.72</v>
      </c>
      <c r="F104">
        <v>195</v>
      </c>
      <c r="G104">
        <v>153.19999999999999</v>
      </c>
      <c r="H104">
        <v>26.87</v>
      </c>
      <c r="I104" t="s">
        <v>31</v>
      </c>
      <c r="J104">
        <v>905</v>
      </c>
      <c r="K104">
        <v>4.49</v>
      </c>
      <c r="L104">
        <v>380</v>
      </c>
      <c r="M104">
        <v>93.34</v>
      </c>
      <c r="N104">
        <v>85.5</v>
      </c>
      <c r="O104">
        <v>126</v>
      </c>
      <c r="P104">
        <v>2.31</v>
      </c>
    </row>
    <row r="105" spans="1:16" x14ac:dyDescent="0.25">
      <c r="A105" t="s">
        <v>41</v>
      </c>
      <c r="B105" t="s">
        <v>17</v>
      </c>
      <c r="C105" t="s">
        <v>28</v>
      </c>
      <c r="D105">
        <v>1522</v>
      </c>
      <c r="E105">
        <v>2960.05</v>
      </c>
      <c r="F105">
        <v>258</v>
      </c>
      <c r="G105">
        <v>460.97</v>
      </c>
      <c r="H105">
        <v>24.7</v>
      </c>
      <c r="I105" t="s">
        <v>31</v>
      </c>
      <c r="J105">
        <v>895</v>
      </c>
      <c r="K105">
        <v>38.4</v>
      </c>
      <c r="L105">
        <v>431</v>
      </c>
      <c r="M105">
        <v>61.36</v>
      </c>
      <c r="N105">
        <v>88.61</v>
      </c>
      <c r="O105">
        <v>141</v>
      </c>
      <c r="P105">
        <v>9.44</v>
      </c>
    </row>
    <row r="106" spans="1:16" x14ac:dyDescent="0.25">
      <c r="A106" t="s">
        <v>16</v>
      </c>
      <c r="B106" t="s">
        <v>21</v>
      </c>
      <c r="C106" t="s">
        <v>35</v>
      </c>
      <c r="D106">
        <v>492</v>
      </c>
      <c r="E106">
        <v>779.4</v>
      </c>
      <c r="F106">
        <v>466</v>
      </c>
      <c r="G106">
        <v>447.77</v>
      </c>
      <c r="H106">
        <v>19.989999999999998</v>
      </c>
      <c r="I106" t="s">
        <v>29</v>
      </c>
      <c r="J106">
        <v>418</v>
      </c>
      <c r="K106">
        <v>32.549999999999997</v>
      </c>
      <c r="L106">
        <v>68</v>
      </c>
      <c r="M106">
        <v>64.94</v>
      </c>
      <c r="N106">
        <v>93.38</v>
      </c>
      <c r="O106">
        <v>403</v>
      </c>
      <c r="P106">
        <v>1.49</v>
      </c>
    </row>
    <row r="107" spans="1:16" x14ac:dyDescent="0.25">
      <c r="A107" t="s">
        <v>41</v>
      </c>
      <c r="B107" t="s">
        <v>21</v>
      </c>
      <c r="C107" t="s">
        <v>22</v>
      </c>
      <c r="D107">
        <v>1985</v>
      </c>
      <c r="E107">
        <v>2859.78</v>
      </c>
      <c r="F107">
        <v>302</v>
      </c>
      <c r="G107">
        <v>64.3</v>
      </c>
      <c r="H107">
        <v>18.7</v>
      </c>
      <c r="I107" t="s">
        <v>19</v>
      </c>
      <c r="J107">
        <v>384</v>
      </c>
      <c r="K107">
        <v>22.97</v>
      </c>
      <c r="L107">
        <v>108</v>
      </c>
      <c r="M107">
        <v>99.05</v>
      </c>
      <c r="N107">
        <v>98.69</v>
      </c>
      <c r="O107">
        <v>448</v>
      </c>
      <c r="P107">
        <v>7.84</v>
      </c>
    </row>
    <row r="108" spans="1:16" x14ac:dyDescent="0.25">
      <c r="A108" t="s">
        <v>20</v>
      </c>
      <c r="B108" t="s">
        <v>23</v>
      </c>
      <c r="C108" t="s">
        <v>44</v>
      </c>
      <c r="D108">
        <v>475</v>
      </c>
      <c r="E108">
        <v>867.25</v>
      </c>
      <c r="F108">
        <v>493</v>
      </c>
      <c r="G108">
        <v>41.33</v>
      </c>
      <c r="H108">
        <v>10.7</v>
      </c>
      <c r="I108" t="s">
        <v>19</v>
      </c>
      <c r="J108">
        <v>995</v>
      </c>
      <c r="K108">
        <v>26.08</v>
      </c>
      <c r="L108">
        <v>365</v>
      </c>
      <c r="M108">
        <v>82.84</v>
      </c>
      <c r="N108">
        <v>92.99</v>
      </c>
      <c r="O108">
        <v>394</v>
      </c>
      <c r="P108">
        <v>9.1999999999999993</v>
      </c>
    </row>
    <row r="109" spans="1:16" x14ac:dyDescent="0.25">
      <c r="A109" t="s">
        <v>16</v>
      </c>
      <c r="B109" t="s">
        <v>27</v>
      </c>
      <c r="C109" t="s">
        <v>45</v>
      </c>
      <c r="D109">
        <v>1561</v>
      </c>
      <c r="E109">
        <v>1080.47</v>
      </c>
      <c r="F109">
        <v>445</v>
      </c>
      <c r="G109">
        <v>340.92</v>
      </c>
      <c r="H109">
        <v>25.8</v>
      </c>
      <c r="I109" t="s">
        <v>25</v>
      </c>
      <c r="J109">
        <v>455</v>
      </c>
      <c r="K109">
        <v>46.56</v>
      </c>
      <c r="L109">
        <v>158</v>
      </c>
      <c r="M109">
        <v>69.92</v>
      </c>
      <c r="N109">
        <v>98.46</v>
      </c>
      <c r="O109">
        <v>377</v>
      </c>
      <c r="P109">
        <v>2.2599999999999998</v>
      </c>
    </row>
    <row r="110" spans="1:16" x14ac:dyDescent="0.25">
      <c r="A110" t="s">
        <v>20</v>
      </c>
      <c r="B110" t="s">
        <v>27</v>
      </c>
      <c r="C110" t="s">
        <v>37</v>
      </c>
      <c r="D110">
        <v>59</v>
      </c>
      <c r="E110">
        <v>40.29</v>
      </c>
      <c r="F110">
        <v>425</v>
      </c>
      <c r="G110">
        <v>451.91</v>
      </c>
      <c r="H110">
        <v>13.42</v>
      </c>
      <c r="I110" t="s">
        <v>19</v>
      </c>
      <c r="J110">
        <v>205</v>
      </c>
      <c r="K110">
        <v>39.29</v>
      </c>
      <c r="L110">
        <v>182</v>
      </c>
      <c r="M110">
        <v>61.1</v>
      </c>
      <c r="N110">
        <v>95.63</v>
      </c>
      <c r="O110">
        <v>374</v>
      </c>
      <c r="P110">
        <v>8.17</v>
      </c>
    </row>
    <row r="111" spans="1:16" x14ac:dyDescent="0.25">
      <c r="A111" t="s">
        <v>43</v>
      </c>
      <c r="B111" t="s">
        <v>30</v>
      </c>
      <c r="C111" t="s">
        <v>40</v>
      </c>
      <c r="D111">
        <v>776</v>
      </c>
      <c r="E111">
        <v>738.51</v>
      </c>
      <c r="F111">
        <v>111</v>
      </c>
      <c r="G111">
        <v>84.94</v>
      </c>
      <c r="H111">
        <v>14.23</v>
      </c>
      <c r="I111" t="s">
        <v>31</v>
      </c>
      <c r="J111">
        <v>495</v>
      </c>
      <c r="K111">
        <v>46.45</v>
      </c>
      <c r="L111">
        <v>193</v>
      </c>
      <c r="M111">
        <v>81.28</v>
      </c>
      <c r="N111">
        <v>98.94</v>
      </c>
      <c r="O111">
        <v>485</v>
      </c>
      <c r="P111">
        <v>2.88</v>
      </c>
    </row>
    <row r="112" spans="1:16" x14ac:dyDescent="0.25">
      <c r="A112" t="s">
        <v>16</v>
      </c>
      <c r="B112" t="s">
        <v>17</v>
      </c>
      <c r="C112" t="s">
        <v>34</v>
      </c>
      <c r="D112">
        <v>950</v>
      </c>
      <c r="E112">
        <v>504.22</v>
      </c>
      <c r="F112">
        <v>92</v>
      </c>
      <c r="G112">
        <v>153.71</v>
      </c>
      <c r="H112">
        <v>18.25</v>
      </c>
      <c r="I112" t="s">
        <v>19</v>
      </c>
      <c r="J112">
        <v>595</v>
      </c>
      <c r="K112">
        <v>2.2000000000000002</v>
      </c>
      <c r="L112">
        <v>18</v>
      </c>
      <c r="M112">
        <v>59.6</v>
      </c>
      <c r="N112">
        <v>93.39</v>
      </c>
      <c r="O112">
        <v>260</v>
      </c>
      <c r="P112">
        <v>5.48</v>
      </c>
    </row>
    <row r="113" spans="1:16" x14ac:dyDescent="0.25">
      <c r="A113" t="s">
        <v>36</v>
      </c>
      <c r="B113" t="s">
        <v>27</v>
      </c>
      <c r="C113" t="s">
        <v>32</v>
      </c>
      <c r="D113">
        <v>983</v>
      </c>
      <c r="E113">
        <v>558.33000000000004</v>
      </c>
      <c r="F113">
        <v>147</v>
      </c>
      <c r="G113">
        <v>89.07</v>
      </c>
      <c r="H113">
        <v>10.57</v>
      </c>
      <c r="I113" t="s">
        <v>31</v>
      </c>
      <c r="J113">
        <v>748</v>
      </c>
      <c r="K113">
        <v>10.25</v>
      </c>
      <c r="L113">
        <v>451</v>
      </c>
      <c r="M113">
        <v>85.23</v>
      </c>
      <c r="N113">
        <v>96.41</v>
      </c>
      <c r="O113">
        <v>433</v>
      </c>
      <c r="P113">
        <v>1.52</v>
      </c>
    </row>
    <row r="114" spans="1:16" x14ac:dyDescent="0.25">
      <c r="A114" t="s">
        <v>16</v>
      </c>
      <c r="B114" t="s">
        <v>33</v>
      </c>
      <c r="C114" t="s">
        <v>45</v>
      </c>
      <c r="D114">
        <v>1935</v>
      </c>
      <c r="E114">
        <v>3017.71</v>
      </c>
      <c r="F114">
        <v>228</v>
      </c>
      <c r="G114">
        <v>486.69</v>
      </c>
      <c r="H114">
        <v>18.829999999999998</v>
      </c>
      <c r="I114" t="s">
        <v>25</v>
      </c>
      <c r="J114">
        <v>999</v>
      </c>
      <c r="K114">
        <v>30.73</v>
      </c>
      <c r="L114">
        <v>471</v>
      </c>
      <c r="M114">
        <v>73.62</v>
      </c>
      <c r="N114">
        <v>93.95</v>
      </c>
      <c r="O114">
        <v>246</v>
      </c>
      <c r="P114">
        <v>7.62</v>
      </c>
    </row>
    <row r="115" spans="1:16" x14ac:dyDescent="0.25">
      <c r="A115" t="s">
        <v>20</v>
      </c>
      <c r="B115" t="s">
        <v>33</v>
      </c>
      <c r="C115" t="s">
        <v>18</v>
      </c>
      <c r="D115">
        <v>1983</v>
      </c>
      <c r="E115">
        <v>1065.32</v>
      </c>
      <c r="F115">
        <v>472</v>
      </c>
      <c r="G115">
        <v>276.37</v>
      </c>
      <c r="H115">
        <v>13.79</v>
      </c>
      <c r="I115" t="s">
        <v>19</v>
      </c>
      <c r="J115">
        <v>503</v>
      </c>
      <c r="K115">
        <v>5.16</v>
      </c>
      <c r="L115">
        <v>217</v>
      </c>
      <c r="M115">
        <v>93.91</v>
      </c>
      <c r="N115">
        <v>87.38</v>
      </c>
      <c r="O115">
        <v>50</v>
      </c>
      <c r="P115">
        <v>9.66</v>
      </c>
    </row>
    <row r="116" spans="1:16" x14ac:dyDescent="0.25">
      <c r="A116" t="s">
        <v>26</v>
      </c>
      <c r="B116" t="s">
        <v>30</v>
      </c>
      <c r="C116" t="s">
        <v>45</v>
      </c>
      <c r="D116">
        <v>1956</v>
      </c>
      <c r="E116">
        <v>3053.02</v>
      </c>
      <c r="F116">
        <v>360</v>
      </c>
      <c r="G116">
        <v>181.94</v>
      </c>
      <c r="H116">
        <v>5.68</v>
      </c>
      <c r="I116" t="s">
        <v>25</v>
      </c>
      <c r="J116">
        <v>463</v>
      </c>
      <c r="K116">
        <v>27.11</v>
      </c>
      <c r="L116">
        <v>221</v>
      </c>
      <c r="M116">
        <v>92.59</v>
      </c>
      <c r="N116">
        <v>86.93</v>
      </c>
      <c r="O116">
        <v>360</v>
      </c>
      <c r="P116">
        <v>5.04</v>
      </c>
    </row>
    <row r="117" spans="1:16" x14ac:dyDescent="0.25">
      <c r="A117" t="s">
        <v>16</v>
      </c>
      <c r="B117" t="s">
        <v>17</v>
      </c>
      <c r="C117" t="s">
        <v>32</v>
      </c>
      <c r="D117">
        <v>250</v>
      </c>
      <c r="E117">
        <v>373.31</v>
      </c>
      <c r="F117">
        <v>339</v>
      </c>
      <c r="G117">
        <v>269.64999999999998</v>
      </c>
      <c r="H117">
        <v>20.97</v>
      </c>
      <c r="I117" t="s">
        <v>31</v>
      </c>
      <c r="J117">
        <v>380</v>
      </c>
      <c r="K117">
        <v>11.38</v>
      </c>
      <c r="L117">
        <v>292</v>
      </c>
      <c r="M117">
        <v>55.61</v>
      </c>
      <c r="N117">
        <v>89.53</v>
      </c>
      <c r="O117">
        <v>100</v>
      </c>
      <c r="P117">
        <v>7.86</v>
      </c>
    </row>
    <row r="118" spans="1:16" x14ac:dyDescent="0.25">
      <c r="A118" t="s">
        <v>42</v>
      </c>
      <c r="B118" t="s">
        <v>17</v>
      </c>
      <c r="C118" t="s">
        <v>37</v>
      </c>
      <c r="D118">
        <v>1029</v>
      </c>
      <c r="E118">
        <v>1606.2</v>
      </c>
      <c r="F118">
        <v>441</v>
      </c>
      <c r="G118">
        <v>352.65</v>
      </c>
      <c r="H118">
        <v>29.65</v>
      </c>
      <c r="I118" t="s">
        <v>25</v>
      </c>
      <c r="J118">
        <v>264</v>
      </c>
      <c r="K118">
        <v>34.71</v>
      </c>
      <c r="L118">
        <v>129</v>
      </c>
      <c r="M118">
        <v>53.47</v>
      </c>
      <c r="N118">
        <v>88.82</v>
      </c>
      <c r="O118">
        <v>246</v>
      </c>
      <c r="P118">
        <v>2.83</v>
      </c>
    </row>
    <row r="119" spans="1:16" x14ac:dyDescent="0.25">
      <c r="A119" t="s">
        <v>36</v>
      </c>
      <c r="B119" t="s">
        <v>23</v>
      </c>
      <c r="C119" t="s">
        <v>34</v>
      </c>
      <c r="D119">
        <v>1616</v>
      </c>
      <c r="E119">
        <v>2721.77</v>
      </c>
      <c r="F119">
        <v>277</v>
      </c>
      <c r="G119">
        <v>436.17</v>
      </c>
      <c r="H119">
        <v>29.25</v>
      </c>
      <c r="I119" t="s">
        <v>31</v>
      </c>
      <c r="J119">
        <v>144</v>
      </c>
      <c r="K119">
        <v>39.67</v>
      </c>
      <c r="L119">
        <v>278</v>
      </c>
      <c r="M119">
        <v>99.6</v>
      </c>
      <c r="N119">
        <v>83.27</v>
      </c>
      <c r="O119">
        <v>258</v>
      </c>
      <c r="P119">
        <v>3.36</v>
      </c>
    </row>
    <row r="120" spans="1:16" x14ac:dyDescent="0.25">
      <c r="A120" t="s">
        <v>38</v>
      </c>
      <c r="B120" t="s">
        <v>27</v>
      </c>
      <c r="C120" t="s">
        <v>24</v>
      </c>
      <c r="D120">
        <v>119</v>
      </c>
      <c r="E120">
        <v>214.85</v>
      </c>
      <c r="F120">
        <v>236</v>
      </c>
      <c r="G120">
        <v>64.59</v>
      </c>
      <c r="H120">
        <v>6.87</v>
      </c>
      <c r="I120" t="s">
        <v>31</v>
      </c>
      <c r="J120">
        <v>482</v>
      </c>
      <c r="K120">
        <v>49.28</v>
      </c>
      <c r="L120">
        <v>369</v>
      </c>
      <c r="M120">
        <v>77.97</v>
      </c>
      <c r="N120">
        <v>94.7</v>
      </c>
      <c r="O120">
        <v>471</v>
      </c>
      <c r="P120">
        <v>3.63</v>
      </c>
    </row>
    <row r="121" spans="1:16" x14ac:dyDescent="0.25">
      <c r="A121" t="s">
        <v>41</v>
      </c>
      <c r="B121" t="s">
        <v>33</v>
      </c>
      <c r="C121" t="s">
        <v>18</v>
      </c>
      <c r="D121">
        <v>1408</v>
      </c>
      <c r="E121">
        <v>1257.96</v>
      </c>
      <c r="F121">
        <v>24</v>
      </c>
      <c r="G121">
        <v>95.39</v>
      </c>
      <c r="H121">
        <v>12.81</v>
      </c>
      <c r="I121" t="s">
        <v>19</v>
      </c>
      <c r="J121">
        <v>372</v>
      </c>
      <c r="K121">
        <v>10.51</v>
      </c>
      <c r="L121">
        <v>176</v>
      </c>
      <c r="M121">
        <v>54.71</v>
      </c>
      <c r="N121">
        <v>92.36</v>
      </c>
      <c r="O121">
        <v>226</v>
      </c>
      <c r="P121">
        <v>5.97</v>
      </c>
    </row>
    <row r="122" spans="1:16" x14ac:dyDescent="0.25">
      <c r="A122" t="s">
        <v>16</v>
      </c>
      <c r="B122" t="s">
        <v>30</v>
      </c>
      <c r="C122" t="s">
        <v>28</v>
      </c>
      <c r="D122">
        <v>145</v>
      </c>
      <c r="E122">
        <v>132.94999999999999</v>
      </c>
      <c r="F122">
        <v>449</v>
      </c>
      <c r="G122">
        <v>86.7</v>
      </c>
      <c r="H122">
        <v>9.39</v>
      </c>
      <c r="I122" t="s">
        <v>25</v>
      </c>
      <c r="J122">
        <v>156</v>
      </c>
      <c r="K122">
        <v>8.44</v>
      </c>
      <c r="L122">
        <v>132</v>
      </c>
      <c r="M122">
        <v>81.489999999999995</v>
      </c>
      <c r="N122">
        <v>82</v>
      </c>
      <c r="O122">
        <v>177</v>
      </c>
      <c r="P122">
        <v>5.23</v>
      </c>
    </row>
    <row r="123" spans="1:16" x14ac:dyDescent="0.25">
      <c r="A123" t="s">
        <v>38</v>
      </c>
      <c r="B123" t="s">
        <v>23</v>
      </c>
      <c r="C123" t="s">
        <v>28</v>
      </c>
      <c r="D123">
        <v>1593</v>
      </c>
      <c r="E123">
        <v>912.04</v>
      </c>
      <c r="F123">
        <v>170</v>
      </c>
      <c r="G123">
        <v>379.61</v>
      </c>
      <c r="H123">
        <v>16.48</v>
      </c>
      <c r="I123" t="s">
        <v>19</v>
      </c>
      <c r="J123">
        <v>656</v>
      </c>
      <c r="K123">
        <v>16.489999999999998</v>
      </c>
      <c r="L123">
        <v>305</v>
      </c>
      <c r="M123">
        <v>89.86</v>
      </c>
      <c r="N123">
        <v>98.25</v>
      </c>
      <c r="O123">
        <v>462</v>
      </c>
      <c r="P123">
        <v>6.74</v>
      </c>
    </row>
    <row r="124" spans="1:16" x14ac:dyDescent="0.25">
      <c r="A124" t="s">
        <v>26</v>
      </c>
      <c r="B124" t="s">
        <v>27</v>
      </c>
      <c r="C124" t="s">
        <v>37</v>
      </c>
      <c r="D124">
        <v>492</v>
      </c>
      <c r="E124">
        <v>558.9</v>
      </c>
      <c r="F124">
        <v>84</v>
      </c>
      <c r="G124">
        <v>432.44</v>
      </c>
      <c r="H124">
        <v>18.78</v>
      </c>
      <c r="I124" t="s">
        <v>29</v>
      </c>
      <c r="J124">
        <v>242</v>
      </c>
      <c r="K124">
        <v>2.27</v>
      </c>
      <c r="L124">
        <v>181</v>
      </c>
      <c r="M124">
        <v>79.84</v>
      </c>
      <c r="N124">
        <v>83.81</v>
      </c>
      <c r="O124">
        <v>63</v>
      </c>
      <c r="P124">
        <v>2.83</v>
      </c>
    </row>
    <row r="125" spans="1:16" x14ac:dyDescent="0.25">
      <c r="A125" t="s">
        <v>38</v>
      </c>
      <c r="B125" t="s">
        <v>17</v>
      </c>
      <c r="C125" t="s">
        <v>22</v>
      </c>
      <c r="D125">
        <v>1109</v>
      </c>
      <c r="E125">
        <v>1302.32</v>
      </c>
      <c r="F125">
        <v>55</v>
      </c>
      <c r="G125">
        <v>276.92</v>
      </c>
      <c r="H125">
        <v>11.77</v>
      </c>
      <c r="I125" t="s">
        <v>19</v>
      </c>
      <c r="J125">
        <v>418</v>
      </c>
      <c r="K125">
        <v>44.72</v>
      </c>
      <c r="L125">
        <v>332</v>
      </c>
      <c r="M125">
        <v>87.75</v>
      </c>
      <c r="N125">
        <v>83.55</v>
      </c>
      <c r="O125">
        <v>95</v>
      </c>
      <c r="P125">
        <v>4.76</v>
      </c>
    </row>
    <row r="126" spans="1:16" x14ac:dyDescent="0.25">
      <c r="A126" t="s">
        <v>41</v>
      </c>
      <c r="B126" t="s">
        <v>21</v>
      </c>
      <c r="C126" t="s">
        <v>40</v>
      </c>
      <c r="D126">
        <v>998</v>
      </c>
      <c r="E126">
        <v>534.78</v>
      </c>
      <c r="F126">
        <v>75</v>
      </c>
      <c r="G126">
        <v>486.91</v>
      </c>
      <c r="H126">
        <v>26.45</v>
      </c>
      <c r="I126" t="s">
        <v>31</v>
      </c>
      <c r="J126">
        <v>79</v>
      </c>
      <c r="K126">
        <v>38.5</v>
      </c>
      <c r="L126">
        <v>374</v>
      </c>
      <c r="M126">
        <v>68.2</v>
      </c>
      <c r="N126">
        <v>86.99</v>
      </c>
      <c r="O126">
        <v>447</v>
      </c>
      <c r="P126">
        <v>3.96</v>
      </c>
    </row>
    <row r="127" spans="1:16" x14ac:dyDescent="0.25">
      <c r="A127" t="s">
        <v>26</v>
      </c>
      <c r="B127" t="s">
        <v>27</v>
      </c>
      <c r="C127" t="s">
        <v>32</v>
      </c>
      <c r="D127">
        <v>700</v>
      </c>
      <c r="E127">
        <v>879.19</v>
      </c>
      <c r="F127">
        <v>102</v>
      </c>
      <c r="G127">
        <v>433.65</v>
      </c>
      <c r="H127">
        <v>19.350000000000001</v>
      </c>
      <c r="I127" t="s">
        <v>31</v>
      </c>
      <c r="J127">
        <v>31</v>
      </c>
      <c r="K127">
        <v>14.85</v>
      </c>
      <c r="L127">
        <v>77</v>
      </c>
      <c r="M127">
        <v>83.24</v>
      </c>
      <c r="N127">
        <v>93.62</v>
      </c>
      <c r="O127">
        <v>351</v>
      </c>
      <c r="P127">
        <v>7.96</v>
      </c>
    </row>
    <row r="128" spans="1:16" x14ac:dyDescent="0.25">
      <c r="A128" t="s">
        <v>41</v>
      </c>
      <c r="B128" t="s">
        <v>21</v>
      </c>
      <c r="C128" t="s">
        <v>40</v>
      </c>
      <c r="D128">
        <v>291</v>
      </c>
      <c r="E128">
        <v>290.89</v>
      </c>
      <c r="F128">
        <v>449</v>
      </c>
      <c r="G128">
        <v>41.9</v>
      </c>
      <c r="H128">
        <v>14.73</v>
      </c>
      <c r="I128" t="s">
        <v>29</v>
      </c>
      <c r="J128">
        <v>413</v>
      </c>
      <c r="K128">
        <v>5.75</v>
      </c>
      <c r="L128">
        <v>429</v>
      </c>
      <c r="M128">
        <v>95.78</v>
      </c>
      <c r="N128">
        <v>98.4</v>
      </c>
      <c r="O128">
        <v>454</v>
      </c>
      <c r="P128">
        <v>2.82</v>
      </c>
    </row>
    <row r="129" spans="1:16" x14ac:dyDescent="0.25">
      <c r="A129" t="s">
        <v>42</v>
      </c>
      <c r="B129" t="s">
        <v>17</v>
      </c>
      <c r="C129" t="s">
        <v>40</v>
      </c>
      <c r="D129">
        <v>690</v>
      </c>
      <c r="E129">
        <v>1083</v>
      </c>
      <c r="F129">
        <v>30</v>
      </c>
      <c r="G129">
        <v>142.77000000000001</v>
      </c>
      <c r="H129">
        <v>6.11</v>
      </c>
      <c r="I129" t="s">
        <v>31</v>
      </c>
      <c r="J129">
        <v>749</v>
      </c>
      <c r="K129">
        <v>26.8</v>
      </c>
      <c r="L129">
        <v>376</v>
      </c>
      <c r="M129">
        <v>54.43</v>
      </c>
      <c r="N129">
        <v>85.87</v>
      </c>
      <c r="O129">
        <v>398</v>
      </c>
      <c r="P129">
        <v>9.01</v>
      </c>
    </row>
    <row r="130" spans="1:16" x14ac:dyDescent="0.25">
      <c r="A130" t="s">
        <v>20</v>
      </c>
      <c r="B130" t="s">
        <v>17</v>
      </c>
      <c r="C130" t="s">
        <v>39</v>
      </c>
      <c r="D130">
        <v>1204</v>
      </c>
      <c r="E130">
        <v>2092.7800000000002</v>
      </c>
      <c r="F130">
        <v>18</v>
      </c>
      <c r="G130">
        <v>335.14</v>
      </c>
      <c r="H130">
        <v>29.92</v>
      </c>
      <c r="I130" t="s">
        <v>31</v>
      </c>
      <c r="J130">
        <v>70</v>
      </c>
      <c r="K130">
        <v>12.64</v>
      </c>
      <c r="L130">
        <v>447</v>
      </c>
      <c r="M130">
        <v>63.36</v>
      </c>
      <c r="N130">
        <v>93.47</v>
      </c>
      <c r="O130">
        <v>337</v>
      </c>
      <c r="P130">
        <v>6.63</v>
      </c>
    </row>
    <row r="131" spans="1:16" x14ac:dyDescent="0.25">
      <c r="A131" t="s">
        <v>43</v>
      </c>
      <c r="B131" t="s">
        <v>21</v>
      </c>
      <c r="C131" t="s">
        <v>18</v>
      </c>
      <c r="D131">
        <v>1052</v>
      </c>
      <c r="E131">
        <v>1124.43</v>
      </c>
      <c r="F131">
        <v>227</v>
      </c>
      <c r="G131">
        <v>285.33</v>
      </c>
      <c r="H131">
        <v>19.88</v>
      </c>
      <c r="I131" t="s">
        <v>19</v>
      </c>
      <c r="J131">
        <v>886</v>
      </c>
      <c r="K131">
        <v>34.729999999999997</v>
      </c>
      <c r="L131">
        <v>345</v>
      </c>
      <c r="M131">
        <v>94.14</v>
      </c>
      <c r="N131">
        <v>82.48</v>
      </c>
      <c r="O131">
        <v>181</v>
      </c>
      <c r="P131">
        <v>1.51</v>
      </c>
    </row>
    <row r="132" spans="1:16" x14ac:dyDescent="0.25">
      <c r="A132" t="s">
        <v>38</v>
      </c>
      <c r="B132" t="s">
        <v>27</v>
      </c>
      <c r="C132" t="s">
        <v>44</v>
      </c>
      <c r="D132">
        <v>1643</v>
      </c>
      <c r="E132">
        <v>1447.25</v>
      </c>
      <c r="F132">
        <v>300</v>
      </c>
      <c r="G132">
        <v>105.95</v>
      </c>
      <c r="H132">
        <v>9.4</v>
      </c>
      <c r="I132" t="s">
        <v>29</v>
      </c>
      <c r="J132">
        <v>132</v>
      </c>
      <c r="K132">
        <v>12.99</v>
      </c>
      <c r="L132">
        <v>249</v>
      </c>
      <c r="M132">
        <v>86.2</v>
      </c>
      <c r="N132">
        <v>98.69</v>
      </c>
      <c r="O132">
        <v>72</v>
      </c>
      <c r="P132">
        <v>3.97</v>
      </c>
    </row>
    <row r="133" spans="1:16" x14ac:dyDescent="0.25">
      <c r="A133" t="s">
        <v>38</v>
      </c>
      <c r="B133" t="s">
        <v>21</v>
      </c>
      <c r="C133" t="s">
        <v>35</v>
      </c>
      <c r="D133">
        <v>1930</v>
      </c>
      <c r="E133">
        <v>1645.17</v>
      </c>
      <c r="F133">
        <v>271</v>
      </c>
      <c r="G133">
        <v>53.98</v>
      </c>
      <c r="H133">
        <v>12.79</v>
      </c>
      <c r="I133" t="s">
        <v>29</v>
      </c>
      <c r="J133">
        <v>447</v>
      </c>
      <c r="K133">
        <v>45.33</v>
      </c>
      <c r="L133">
        <v>333</v>
      </c>
      <c r="M133">
        <v>93.39</v>
      </c>
      <c r="N133">
        <v>93.74</v>
      </c>
      <c r="O133">
        <v>346</v>
      </c>
      <c r="P133">
        <v>6.5</v>
      </c>
    </row>
    <row r="134" spans="1:16" x14ac:dyDescent="0.25">
      <c r="A134" t="s">
        <v>16</v>
      </c>
      <c r="B134" t="s">
        <v>17</v>
      </c>
      <c r="C134" t="s">
        <v>44</v>
      </c>
      <c r="D134">
        <v>948</v>
      </c>
      <c r="E134">
        <v>992.11</v>
      </c>
      <c r="F134">
        <v>14</v>
      </c>
      <c r="G134">
        <v>260.69</v>
      </c>
      <c r="H134">
        <v>6.4</v>
      </c>
      <c r="I134" t="s">
        <v>29</v>
      </c>
      <c r="J134">
        <v>280</v>
      </c>
      <c r="K134">
        <v>36.229999999999997</v>
      </c>
      <c r="L134">
        <v>427</v>
      </c>
      <c r="M134">
        <v>65.48</v>
      </c>
      <c r="N134">
        <v>84.24</v>
      </c>
      <c r="O134">
        <v>295</v>
      </c>
      <c r="P134">
        <v>7.16</v>
      </c>
    </row>
    <row r="135" spans="1:16" x14ac:dyDescent="0.25">
      <c r="A135" t="s">
        <v>16</v>
      </c>
      <c r="B135" t="s">
        <v>30</v>
      </c>
      <c r="C135" t="s">
        <v>39</v>
      </c>
      <c r="D135">
        <v>1648</v>
      </c>
      <c r="E135">
        <v>1428.26</v>
      </c>
      <c r="F135">
        <v>17</v>
      </c>
      <c r="G135">
        <v>91.18</v>
      </c>
      <c r="H135">
        <v>22.73</v>
      </c>
      <c r="I135" t="s">
        <v>31</v>
      </c>
      <c r="J135">
        <v>378</v>
      </c>
      <c r="K135">
        <v>5.73</v>
      </c>
      <c r="L135">
        <v>221</v>
      </c>
      <c r="M135">
        <v>53.76</v>
      </c>
      <c r="N135">
        <v>96.55</v>
      </c>
      <c r="O135">
        <v>369</v>
      </c>
      <c r="P135">
        <v>2.64</v>
      </c>
    </row>
    <row r="136" spans="1:16" x14ac:dyDescent="0.25">
      <c r="A136" t="s">
        <v>20</v>
      </c>
      <c r="B136" t="s">
        <v>21</v>
      </c>
      <c r="C136" t="s">
        <v>40</v>
      </c>
      <c r="D136">
        <v>1051</v>
      </c>
      <c r="E136">
        <v>1228.5</v>
      </c>
      <c r="F136">
        <v>376</v>
      </c>
      <c r="G136">
        <v>91.71</v>
      </c>
      <c r="H136">
        <v>6.78</v>
      </c>
      <c r="I136" t="s">
        <v>19</v>
      </c>
      <c r="J136">
        <v>160</v>
      </c>
      <c r="K136">
        <v>44.01</v>
      </c>
      <c r="L136">
        <v>473</v>
      </c>
      <c r="M136">
        <v>52.57</v>
      </c>
      <c r="N136">
        <v>88.66</v>
      </c>
      <c r="O136">
        <v>401</v>
      </c>
      <c r="P136">
        <v>8.02</v>
      </c>
    </row>
    <row r="137" spans="1:16" x14ac:dyDescent="0.25">
      <c r="A137" t="s">
        <v>41</v>
      </c>
      <c r="B137" t="s">
        <v>30</v>
      </c>
      <c r="C137" t="s">
        <v>44</v>
      </c>
      <c r="D137">
        <v>1073</v>
      </c>
      <c r="E137">
        <v>1818.47</v>
      </c>
      <c r="F137">
        <v>427</v>
      </c>
      <c r="G137">
        <v>194.94</v>
      </c>
      <c r="H137">
        <v>23.03</v>
      </c>
      <c r="I137" t="s">
        <v>29</v>
      </c>
      <c r="J137">
        <v>961</v>
      </c>
      <c r="K137">
        <v>38.409999999999997</v>
      </c>
      <c r="L137">
        <v>420</v>
      </c>
      <c r="M137">
        <v>55.45</v>
      </c>
      <c r="N137">
        <v>87.54</v>
      </c>
      <c r="O137">
        <v>449</v>
      </c>
      <c r="P137">
        <v>6.92</v>
      </c>
    </row>
    <row r="138" spans="1:16" x14ac:dyDescent="0.25">
      <c r="A138" t="s">
        <v>42</v>
      </c>
      <c r="B138" t="s">
        <v>17</v>
      </c>
      <c r="C138" t="s">
        <v>37</v>
      </c>
      <c r="D138">
        <v>122</v>
      </c>
      <c r="E138">
        <v>64.73</v>
      </c>
      <c r="F138">
        <v>477</v>
      </c>
      <c r="G138">
        <v>436.52</v>
      </c>
      <c r="H138">
        <v>28.96</v>
      </c>
      <c r="I138" t="s">
        <v>25</v>
      </c>
      <c r="J138">
        <v>547</v>
      </c>
      <c r="K138">
        <v>9.0299999999999994</v>
      </c>
      <c r="L138">
        <v>51</v>
      </c>
      <c r="M138">
        <v>88.01</v>
      </c>
      <c r="N138">
        <v>96.98</v>
      </c>
      <c r="O138">
        <v>362</v>
      </c>
      <c r="P138">
        <v>8.11</v>
      </c>
    </row>
    <row r="139" spans="1:16" x14ac:dyDescent="0.25">
      <c r="A139" t="s">
        <v>38</v>
      </c>
      <c r="B139" t="s">
        <v>21</v>
      </c>
      <c r="C139" t="s">
        <v>37</v>
      </c>
      <c r="D139">
        <v>972</v>
      </c>
      <c r="E139">
        <v>1695.46</v>
      </c>
      <c r="F139">
        <v>30</v>
      </c>
      <c r="G139">
        <v>433.5</v>
      </c>
      <c r="H139">
        <v>15.32</v>
      </c>
      <c r="I139" t="s">
        <v>19</v>
      </c>
      <c r="J139">
        <v>1000</v>
      </c>
      <c r="K139">
        <v>29.72</v>
      </c>
      <c r="L139">
        <v>332</v>
      </c>
      <c r="M139">
        <v>94.52</v>
      </c>
      <c r="N139">
        <v>85</v>
      </c>
      <c r="O139">
        <v>275</v>
      </c>
      <c r="P139">
        <v>7.71</v>
      </c>
    </row>
    <row r="140" spans="1:16" x14ac:dyDescent="0.25">
      <c r="A140" t="s">
        <v>38</v>
      </c>
      <c r="B140" t="s">
        <v>23</v>
      </c>
      <c r="C140" t="s">
        <v>39</v>
      </c>
      <c r="D140">
        <v>1294</v>
      </c>
      <c r="E140">
        <v>1484.24</v>
      </c>
      <c r="F140">
        <v>383</v>
      </c>
      <c r="G140">
        <v>466.63</v>
      </c>
      <c r="H140">
        <v>10.199999999999999</v>
      </c>
      <c r="I140" t="s">
        <v>29</v>
      </c>
      <c r="J140">
        <v>145</v>
      </c>
      <c r="K140">
        <v>41.88</v>
      </c>
      <c r="L140">
        <v>301</v>
      </c>
      <c r="M140">
        <v>50.57</v>
      </c>
      <c r="N140">
        <v>82.62</v>
      </c>
      <c r="O140">
        <v>349</v>
      </c>
      <c r="P140">
        <v>1.01</v>
      </c>
    </row>
    <row r="141" spans="1:16" x14ac:dyDescent="0.25">
      <c r="A141" t="s">
        <v>36</v>
      </c>
      <c r="B141" t="s">
        <v>30</v>
      </c>
      <c r="C141" t="s">
        <v>35</v>
      </c>
      <c r="D141">
        <v>1679</v>
      </c>
      <c r="E141">
        <v>3123.58</v>
      </c>
      <c r="F141">
        <v>425</v>
      </c>
      <c r="G141">
        <v>423.5</v>
      </c>
      <c r="H141">
        <v>9.93</v>
      </c>
      <c r="I141" t="s">
        <v>29</v>
      </c>
      <c r="J141">
        <v>865</v>
      </c>
      <c r="K141">
        <v>44.53</v>
      </c>
      <c r="L141">
        <v>233</v>
      </c>
      <c r="M141">
        <v>66.58</v>
      </c>
      <c r="N141">
        <v>90.54</v>
      </c>
      <c r="O141">
        <v>448</v>
      </c>
      <c r="P141">
        <v>2.75</v>
      </c>
    </row>
    <row r="142" spans="1:16" x14ac:dyDescent="0.25">
      <c r="A142" t="s">
        <v>16</v>
      </c>
      <c r="B142" t="s">
        <v>17</v>
      </c>
      <c r="C142" t="s">
        <v>34</v>
      </c>
      <c r="D142">
        <v>193</v>
      </c>
      <c r="E142">
        <v>120.86</v>
      </c>
      <c r="F142">
        <v>271</v>
      </c>
      <c r="G142">
        <v>285.58999999999997</v>
      </c>
      <c r="H142">
        <v>21.74</v>
      </c>
      <c r="I142" t="s">
        <v>25</v>
      </c>
      <c r="J142">
        <v>908</v>
      </c>
      <c r="K142">
        <v>45.01</v>
      </c>
      <c r="L142">
        <v>163</v>
      </c>
      <c r="M142">
        <v>98.91</v>
      </c>
      <c r="N142">
        <v>92.45</v>
      </c>
      <c r="O142">
        <v>268</v>
      </c>
      <c r="P142">
        <v>6.29</v>
      </c>
    </row>
    <row r="143" spans="1:16" x14ac:dyDescent="0.25">
      <c r="A143" t="s">
        <v>43</v>
      </c>
      <c r="B143" t="s">
        <v>21</v>
      </c>
      <c r="C143" t="s">
        <v>44</v>
      </c>
      <c r="D143">
        <v>1561</v>
      </c>
      <c r="E143">
        <v>2624.95</v>
      </c>
      <c r="F143">
        <v>365</v>
      </c>
      <c r="G143">
        <v>63.91</v>
      </c>
      <c r="H143">
        <v>13.95</v>
      </c>
      <c r="I143" t="s">
        <v>31</v>
      </c>
      <c r="J143">
        <v>933</v>
      </c>
      <c r="K143">
        <v>48.04</v>
      </c>
      <c r="L143">
        <v>402</v>
      </c>
      <c r="M143">
        <v>77.040000000000006</v>
      </c>
      <c r="N143">
        <v>82.86</v>
      </c>
      <c r="O143">
        <v>170</v>
      </c>
      <c r="P143">
        <v>5.3</v>
      </c>
    </row>
    <row r="144" spans="1:16" x14ac:dyDescent="0.25">
      <c r="A144" t="s">
        <v>38</v>
      </c>
      <c r="B144" t="s">
        <v>17</v>
      </c>
      <c r="C144" t="s">
        <v>45</v>
      </c>
      <c r="D144">
        <v>1752</v>
      </c>
      <c r="E144">
        <v>2380.21</v>
      </c>
      <c r="F144">
        <v>337</v>
      </c>
      <c r="G144">
        <v>48.3</v>
      </c>
      <c r="H144">
        <v>26.42</v>
      </c>
      <c r="I144" t="s">
        <v>25</v>
      </c>
      <c r="J144">
        <v>518</v>
      </c>
      <c r="K144">
        <v>7.79</v>
      </c>
      <c r="L144">
        <v>120</v>
      </c>
      <c r="M144">
        <v>79.569999999999993</v>
      </c>
      <c r="N144">
        <v>80.42</v>
      </c>
      <c r="O144">
        <v>354</v>
      </c>
      <c r="P144">
        <v>8.7100000000000009</v>
      </c>
    </row>
    <row r="145" spans="1:16" x14ac:dyDescent="0.25">
      <c r="A145" t="s">
        <v>36</v>
      </c>
      <c r="B145" t="s">
        <v>23</v>
      </c>
      <c r="C145" t="s">
        <v>44</v>
      </c>
      <c r="D145">
        <v>1094</v>
      </c>
      <c r="E145">
        <v>922.86</v>
      </c>
      <c r="F145">
        <v>346</v>
      </c>
      <c r="G145">
        <v>289.2</v>
      </c>
      <c r="H145">
        <v>5.69</v>
      </c>
      <c r="I145" t="s">
        <v>19</v>
      </c>
      <c r="J145">
        <v>390</v>
      </c>
      <c r="K145">
        <v>35.69</v>
      </c>
      <c r="L145">
        <v>297</v>
      </c>
      <c r="M145">
        <v>89.6</v>
      </c>
      <c r="N145">
        <v>85.64</v>
      </c>
      <c r="O145">
        <v>383</v>
      </c>
      <c r="P145">
        <v>9.15</v>
      </c>
    </row>
    <row r="146" spans="1:16" x14ac:dyDescent="0.25">
      <c r="A146" t="s">
        <v>43</v>
      </c>
      <c r="B146" t="s">
        <v>33</v>
      </c>
      <c r="C146" t="s">
        <v>18</v>
      </c>
      <c r="D146">
        <v>1509</v>
      </c>
      <c r="E146">
        <v>1255.68</v>
      </c>
      <c r="F146">
        <v>135</v>
      </c>
      <c r="G146">
        <v>292.98</v>
      </c>
      <c r="H146">
        <v>26.66</v>
      </c>
      <c r="I146" t="s">
        <v>31</v>
      </c>
      <c r="J146">
        <v>77</v>
      </c>
      <c r="K146">
        <v>2.4500000000000002</v>
      </c>
      <c r="L146">
        <v>79</v>
      </c>
      <c r="M146">
        <v>74.92</v>
      </c>
      <c r="N146">
        <v>81.69</v>
      </c>
      <c r="O146">
        <v>198</v>
      </c>
      <c r="P146">
        <v>1.96</v>
      </c>
    </row>
    <row r="147" spans="1:16" x14ac:dyDescent="0.25">
      <c r="A147" t="s">
        <v>16</v>
      </c>
      <c r="B147" t="s">
        <v>17</v>
      </c>
      <c r="C147" t="s">
        <v>40</v>
      </c>
      <c r="D147">
        <v>1439</v>
      </c>
      <c r="E147">
        <v>2254.5</v>
      </c>
      <c r="F147">
        <v>165</v>
      </c>
      <c r="G147">
        <v>339.4</v>
      </c>
      <c r="H147">
        <v>23.68</v>
      </c>
      <c r="I147" t="s">
        <v>25</v>
      </c>
      <c r="J147">
        <v>301</v>
      </c>
      <c r="K147">
        <v>26.66</v>
      </c>
      <c r="L147">
        <v>444</v>
      </c>
      <c r="M147">
        <v>77.7</v>
      </c>
      <c r="N147">
        <v>98.12</v>
      </c>
      <c r="O147">
        <v>433</v>
      </c>
      <c r="P147">
        <v>6.01</v>
      </c>
    </row>
    <row r="148" spans="1:16" x14ac:dyDescent="0.25">
      <c r="A148" t="s">
        <v>16</v>
      </c>
      <c r="B148" t="s">
        <v>21</v>
      </c>
      <c r="C148" t="s">
        <v>37</v>
      </c>
      <c r="D148">
        <v>715</v>
      </c>
      <c r="E148">
        <v>1230.04</v>
      </c>
      <c r="F148">
        <v>156</v>
      </c>
      <c r="G148">
        <v>69.53</v>
      </c>
      <c r="H148">
        <v>12.37</v>
      </c>
      <c r="I148" t="s">
        <v>19</v>
      </c>
      <c r="J148">
        <v>65</v>
      </c>
      <c r="K148">
        <v>25.94</v>
      </c>
      <c r="L148">
        <v>391</v>
      </c>
      <c r="M148">
        <v>75.150000000000006</v>
      </c>
      <c r="N148">
        <v>94.05</v>
      </c>
      <c r="O148">
        <v>114</v>
      </c>
      <c r="P148">
        <v>7.37</v>
      </c>
    </row>
    <row r="149" spans="1:16" x14ac:dyDescent="0.25">
      <c r="A149" t="s">
        <v>43</v>
      </c>
      <c r="B149" t="s">
        <v>30</v>
      </c>
      <c r="C149" t="s">
        <v>40</v>
      </c>
      <c r="D149">
        <v>838</v>
      </c>
      <c r="E149">
        <v>1290.75</v>
      </c>
      <c r="F149">
        <v>31</v>
      </c>
      <c r="G149">
        <v>441.78</v>
      </c>
      <c r="H149">
        <v>21.07</v>
      </c>
      <c r="I149" t="s">
        <v>19</v>
      </c>
      <c r="J149">
        <v>574</v>
      </c>
      <c r="K149">
        <v>43.32</v>
      </c>
      <c r="L149">
        <v>254</v>
      </c>
      <c r="M149">
        <v>70.36</v>
      </c>
      <c r="N149">
        <v>83.82</v>
      </c>
      <c r="O149">
        <v>54</v>
      </c>
      <c r="P149">
        <v>9.27</v>
      </c>
    </row>
    <row r="150" spans="1:16" x14ac:dyDescent="0.25">
      <c r="A150" t="s">
        <v>41</v>
      </c>
      <c r="B150" t="s">
        <v>23</v>
      </c>
      <c r="C150" t="s">
        <v>35</v>
      </c>
      <c r="D150">
        <v>779</v>
      </c>
      <c r="E150">
        <v>1186.3599999999999</v>
      </c>
      <c r="F150">
        <v>150</v>
      </c>
      <c r="G150">
        <v>311.12</v>
      </c>
      <c r="H150">
        <v>11.78</v>
      </c>
      <c r="I150" t="s">
        <v>31</v>
      </c>
      <c r="J150">
        <v>725</v>
      </c>
      <c r="K150">
        <v>23.99</v>
      </c>
      <c r="L150">
        <v>424</v>
      </c>
      <c r="M150">
        <v>59.73</v>
      </c>
      <c r="N150">
        <v>95.37</v>
      </c>
      <c r="O150">
        <v>204</v>
      </c>
      <c r="P150">
        <v>8.51</v>
      </c>
    </row>
    <row r="151" spans="1:16" x14ac:dyDescent="0.25">
      <c r="A151" t="s">
        <v>16</v>
      </c>
      <c r="B151" t="s">
        <v>23</v>
      </c>
      <c r="C151" t="s">
        <v>24</v>
      </c>
      <c r="D151">
        <v>822</v>
      </c>
      <c r="E151">
        <v>479.22</v>
      </c>
      <c r="F151">
        <v>395</v>
      </c>
      <c r="G151">
        <v>385.2</v>
      </c>
      <c r="H151">
        <v>7.44</v>
      </c>
      <c r="I151" t="s">
        <v>31</v>
      </c>
      <c r="J151">
        <v>203</v>
      </c>
      <c r="K151">
        <v>2.71</v>
      </c>
      <c r="L151">
        <v>195</v>
      </c>
      <c r="M151">
        <v>99.62</v>
      </c>
      <c r="N151">
        <v>93.69</v>
      </c>
      <c r="O151">
        <v>234</v>
      </c>
      <c r="P151">
        <v>1.53</v>
      </c>
    </row>
    <row r="152" spans="1:16" x14ac:dyDescent="0.25">
      <c r="A152" t="s">
        <v>26</v>
      </c>
      <c r="B152" t="s">
        <v>17</v>
      </c>
      <c r="C152" t="s">
        <v>28</v>
      </c>
      <c r="D152">
        <v>1490</v>
      </c>
      <c r="E152">
        <v>2683.92</v>
      </c>
      <c r="F152">
        <v>460</v>
      </c>
      <c r="G152">
        <v>32.53</v>
      </c>
      <c r="H152">
        <v>20.3</v>
      </c>
      <c r="I152" t="s">
        <v>19</v>
      </c>
      <c r="J152">
        <v>104</v>
      </c>
      <c r="K152">
        <v>23.73</v>
      </c>
      <c r="L152">
        <v>321</v>
      </c>
      <c r="M152">
        <v>95.02</v>
      </c>
      <c r="N152">
        <v>80.599999999999994</v>
      </c>
      <c r="O152">
        <v>445</v>
      </c>
      <c r="P152">
        <v>9.52</v>
      </c>
    </row>
    <row r="153" spans="1:16" x14ac:dyDescent="0.25">
      <c r="A153" t="s">
        <v>20</v>
      </c>
      <c r="B153" t="s">
        <v>30</v>
      </c>
      <c r="C153" t="s">
        <v>28</v>
      </c>
      <c r="D153">
        <v>288</v>
      </c>
      <c r="E153">
        <v>179.58</v>
      </c>
      <c r="F153">
        <v>70</v>
      </c>
      <c r="G153">
        <v>132.44999999999999</v>
      </c>
      <c r="H153">
        <v>22.28</v>
      </c>
      <c r="I153" t="s">
        <v>29</v>
      </c>
      <c r="J153">
        <v>760</v>
      </c>
      <c r="K153">
        <v>33.659999999999997</v>
      </c>
      <c r="L153">
        <v>266</v>
      </c>
      <c r="M153">
        <v>93.8</v>
      </c>
      <c r="N153">
        <v>93.75</v>
      </c>
      <c r="O153">
        <v>206</v>
      </c>
      <c r="P153">
        <v>2.4500000000000002</v>
      </c>
    </row>
    <row r="154" spans="1:16" x14ac:dyDescent="0.25">
      <c r="A154" t="s">
        <v>41</v>
      </c>
      <c r="B154" t="s">
        <v>27</v>
      </c>
      <c r="C154" t="s">
        <v>22</v>
      </c>
      <c r="D154">
        <v>620</v>
      </c>
      <c r="E154">
        <v>762.34</v>
      </c>
      <c r="F154">
        <v>349</v>
      </c>
      <c r="G154">
        <v>54.88</v>
      </c>
      <c r="H154">
        <v>21.84</v>
      </c>
      <c r="I154" t="s">
        <v>31</v>
      </c>
      <c r="J154">
        <v>365</v>
      </c>
      <c r="K154">
        <v>31.89</v>
      </c>
      <c r="L154">
        <v>456</v>
      </c>
      <c r="M154">
        <v>89.16</v>
      </c>
      <c r="N154">
        <v>84.78</v>
      </c>
      <c r="O154">
        <v>294</v>
      </c>
      <c r="P154">
        <v>4.1399999999999997</v>
      </c>
    </row>
    <row r="155" spans="1:16" x14ac:dyDescent="0.25">
      <c r="A155" t="s">
        <v>16</v>
      </c>
      <c r="B155" t="s">
        <v>27</v>
      </c>
      <c r="C155" t="s">
        <v>40</v>
      </c>
      <c r="D155">
        <v>1403</v>
      </c>
      <c r="E155">
        <v>1732.57</v>
      </c>
      <c r="F155">
        <v>274</v>
      </c>
      <c r="G155">
        <v>277.7</v>
      </c>
      <c r="H155">
        <v>21.17</v>
      </c>
      <c r="I155" t="s">
        <v>31</v>
      </c>
      <c r="J155">
        <v>508</v>
      </c>
      <c r="K155">
        <v>19.850000000000001</v>
      </c>
      <c r="L155">
        <v>382</v>
      </c>
      <c r="M155">
        <v>79.44</v>
      </c>
      <c r="N155">
        <v>90.36</v>
      </c>
      <c r="O155">
        <v>68</v>
      </c>
      <c r="P155">
        <v>1.63</v>
      </c>
    </row>
    <row r="156" spans="1:16" x14ac:dyDescent="0.25">
      <c r="A156" t="s">
        <v>26</v>
      </c>
      <c r="B156" t="s">
        <v>27</v>
      </c>
      <c r="C156" t="s">
        <v>39</v>
      </c>
      <c r="D156">
        <v>1650</v>
      </c>
      <c r="E156">
        <v>3076.01</v>
      </c>
      <c r="F156">
        <v>350</v>
      </c>
      <c r="G156">
        <v>288.31</v>
      </c>
      <c r="H156">
        <v>18</v>
      </c>
      <c r="I156" t="s">
        <v>29</v>
      </c>
      <c r="J156">
        <v>918</v>
      </c>
      <c r="K156">
        <v>36.96</v>
      </c>
      <c r="L156">
        <v>217</v>
      </c>
      <c r="M156">
        <v>75.91</v>
      </c>
      <c r="N156">
        <v>89.44</v>
      </c>
      <c r="O156">
        <v>449</v>
      </c>
      <c r="P156">
        <v>7.03</v>
      </c>
    </row>
    <row r="157" spans="1:16" x14ac:dyDescent="0.25">
      <c r="A157" t="s">
        <v>20</v>
      </c>
      <c r="B157" t="s">
        <v>17</v>
      </c>
      <c r="C157" t="s">
        <v>32</v>
      </c>
      <c r="D157">
        <v>326</v>
      </c>
      <c r="E157">
        <v>314.97000000000003</v>
      </c>
      <c r="F157">
        <v>422</v>
      </c>
      <c r="G157">
        <v>194.47</v>
      </c>
      <c r="H157">
        <v>19.18</v>
      </c>
      <c r="I157" t="s">
        <v>29</v>
      </c>
      <c r="J157">
        <v>308</v>
      </c>
      <c r="K157">
        <v>11.62</v>
      </c>
      <c r="L157">
        <v>317</v>
      </c>
      <c r="M157">
        <v>84.8</v>
      </c>
      <c r="N157">
        <v>92.16</v>
      </c>
      <c r="O157">
        <v>367</v>
      </c>
      <c r="P157">
        <v>9.56</v>
      </c>
    </row>
    <row r="158" spans="1:16" x14ac:dyDescent="0.25">
      <c r="A158" t="s">
        <v>20</v>
      </c>
      <c r="B158" t="s">
        <v>30</v>
      </c>
      <c r="C158" t="s">
        <v>32</v>
      </c>
      <c r="D158">
        <v>708</v>
      </c>
      <c r="E158">
        <v>558.77</v>
      </c>
      <c r="F158">
        <v>335</v>
      </c>
      <c r="G158">
        <v>73.7</v>
      </c>
      <c r="H158">
        <v>26.63</v>
      </c>
      <c r="I158" t="s">
        <v>29</v>
      </c>
      <c r="J158">
        <v>235</v>
      </c>
      <c r="K158">
        <v>36.770000000000003</v>
      </c>
      <c r="L158">
        <v>284</v>
      </c>
      <c r="M158">
        <v>98.24</v>
      </c>
      <c r="N158">
        <v>92.31</v>
      </c>
      <c r="O158">
        <v>136</v>
      </c>
      <c r="P158">
        <v>5.05</v>
      </c>
    </row>
    <row r="159" spans="1:16" x14ac:dyDescent="0.25">
      <c r="A159" t="s">
        <v>36</v>
      </c>
      <c r="B159" t="s">
        <v>33</v>
      </c>
      <c r="C159" t="s">
        <v>37</v>
      </c>
      <c r="D159">
        <v>702</v>
      </c>
      <c r="E159">
        <v>668.05</v>
      </c>
      <c r="F159">
        <v>307</v>
      </c>
      <c r="G159">
        <v>56.07</v>
      </c>
      <c r="H159">
        <v>19.84</v>
      </c>
      <c r="I159" t="s">
        <v>31</v>
      </c>
      <c r="J159">
        <v>601</v>
      </c>
      <c r="K159">
        <v>20.95</v>
      </c>
      <c r="L159">
        <v>208</v>
      </c>
      <c r="M159">
        <v>58.42</v>
      </c>
      <c r="N159">
        <v>81.819999999999993</v>
      </c>
      <c r="O159">
        <v>294</v>
      </c>
      <c r="P159">
        <v>2.41</v>
      </c>
    </row>
    <row r="160" spans="1:16" x14ac:dyDescent="0.25">
      <c r="A160" t="s">
        <v>38</v>
      </c>
      <c r="B160" t="s">
        <v>27</v>
      </c>
      <c r="C160" t="s">
        <v>37</v>
      </c>
      <c r="D160">
        <v>1594</v>
      </c>
      <c r="E160">
        <v>2579.35</v>
      </c>
      <c r="F160">
        <v>318</v>
      </c>
      <c r="G160">
        <v>127.4</v>
      </c>
      <c r="H160">
        <v>24.77</v>
      </c>
      <c r="I160" t="s">
        <v>19</v>
      </c>
      <c r="J160">
        <v>632</v>
      </c>
      <c r="K160">
        <v>16.97</v>
      </c>
      <c r="L160">
        <v>349</v>
      </c>
      <c r="M160">
        <v>95.02</v>
      </c>
      <c r="N160">
        <v>95.12</v>
      </c>
      <c r="O160">
        <v>348</v>
      </c>
      <c r="P160">
        <v>9.7200000000000006</v>
      </c>
    </row>
    <row r="161" spans="1:16" x14ac:dyDescent="0.25">
      <c r="A161" t="s">
        <v>41</v>
      </c>
      <c r="B161" t="s">
        <v>33</v>
      </c>
      <c r="C161" t="s">
        <v>35</v>
      </c>
      <c r="D161">
        <v>713</v>
      </c>
      <c r="E161">
        <v>1341.09</v>
      </c>
      <c r="F161">
        <v>191</v>
      </c>
      <c r="G161">
        <v>477.7</v>
      </c>
      <c r="H161">
        <v>8.31</v>
      </c>
      <c r="I161" t="s">
        <v>25</v>
      </c>
      <c r="J161">
        <v>69</v>
      </c>
      <c r="K161">
        <v>5.87</v>
      </c>
      <c r="L161">
        <v>159</v>
      </c>
      <c r="M161">
        <v>96.46</v>
      </c>
      <c r="N161">
        <v>81.709999999999994</v>
      </c>
      <c r="O161">
        <v>439</v>
      </c>
      <c r="P161">
        <v>4.4000000000000004</v>
      </c>
    </row>
    <row r="162" spans="1:16" x14ac:dyDescent="0.25">
      <c r="A162" t="s">
        <v>26</v>
      </c>
      <c r="B162" t="s">
        <v>21</v>
      </c>
      <c r="C162" t="s">
        <v>37</v>
      </c>
      <c r="D162">
        <v>1573</v>
      </c>
      <c r="E162">
        <v>2569.34</v>
      </c>
      <c r="F162">
        <v>395</v>
      </c>
      <c r="G162">
        <v>84.4</v>
      </c>
      <c r="H162">
        <v>18.37</v>
      </c>
      <c r="I162" t="s">
        <v>29</v>
      </c>
      <c r="J162">
        <v>659</v>
      </c>
      <c r="K162">
        <v>3.84</v>
      </c>
      <c r="L162">
        <v>223</v>
      </c>
      <c r="M162">
        <v>85.41</v>
      </c>
      <c r="N162">
        <v>83.02</v>
      </c>
      <c r="O162">
        <v>341</v>
      </c>
      <c r="P162">
        <v>1.1599999999999999</v>
      </c>
    </row>
    <row r="163" spans="1:16" x14ac:dyDescent="0.25">
      <c r="A163" t="s">
        <v>43</v>
      </c>
      <c r="B163" t="s">
        <v>33</v>
      </c>
      <c r="C163" t="s">
        <v>32</v>
      </c>
      <c r="D163">
        <v>1435</v>
      </c>
      <c r="E163">
        <v>1976.37</v>
      </c>
      <c r="F163">
        <v>348</v>
      </c>
      <c r="G163">
        <v>397.83</v>
      </c>
      <c r="H163">
        <v>22.96</v>
      </c>
      <c r="I163" t="s">
        <v>25</v>
      </c>
      <c r="J163">
        <v>560</v>
      </c>
      <c r="K163">
        <v>24.48</v>
      </c>
      <c r="L163">
        <v>255</v>
      </c>
      <c r="M163">
        <v>64.44</v>
      </c>
      <c r="N163">
        <v>93.31</v>
      </c>
      <c r="O163">
        <v>154</v>
      </c>
      <c r="P163">
        <v>7.34</v>
      </c>
    </row>
    <row r="164" spans="1:16" x14ac:dyDescent="0.25">
      <c r="A164" t="s">
        <v>20</v>
      </c>
      <c r="B164" t="s">
        <v>21</v>
      </c>
      <c r="C164" t="s">
        <v>37</v>
      </c>
      <c r="D164">
        <v>224</v>
      </c>
      <c r="E164">
        <v>307.98</v>
      </c>
      <c r="F164">
        <v>191</v>
      </c>
      <c r="G164">
        <v>10.75</v>
      </c>
      <c r="H164">
        <v>6.07</v>
      </c>
      <c r="I164" t="s">
        <v>29</v>
      </c>
      <c r="J164">
        <v>443</v>
      </c>
      <c r="K164">
        <v>20.93</v>
      </c>
      <c r="L164">
        <v>178</v>
      </c>
      <c r="M164">
        <v>55.64</v>
      </c>
      <c r="N164">
        <v>85.27</v>
      </c>
      <c r="O164">
        <v>374</v>
      </c>
      <c r="P164">
        <v>8.5</v>
      </c>
    </row>
    <row r="165" spans="1:16" x14ac:dyDescent="0.25">
      <c r="A165" t="s">
        <v>36</v>
      </c>
      <c r="B165" t="s">
        <v>23</v>
      </c>
      <c r="C165" t="s">
        <v>22</v>
      </c>
      <c r="D165">
        <v>556</v>
      </c>
      <c r="E165">
        <v>1108.81</v>
      </c>
      <c r="F165">
        <v>140</v>
      </c>
      <c r="G165">
        <v>203.65</v>
      </c>
      <c r="H165">
        <v>24.19</v>
      </c>
      <c r="I165" t="s">
        <v>29</v>
      </c>
      <c r="J165">
        <v>766</v>
      </c>
      <c r="K165">
        <v>4.1100000000000003</v>
      </c>
      <c r="L165">
        <v>326</v>
      </c>
      <c r="M165">
        <v>76.459999999999994</v>
      </c>
      <c r="N165">
        <v>89.58</v>
      </c>
      <c r="O165">
        <v>468</v>
      </c>
      <c r="P165">
        <v>6.41</v>
      </c>
    </row>
    <row r="166" spans="1:16" x14ac:dyDescent="0.25">
      <c r="A166" t="s">
        <v>38</v>
      </c>
      <c r="B166" t="s">
        <v>23</v>
      </c>
      <c r="C166" t="s">
        <v>44</v>
      </c>
      <c r="D166">
        <v>1165</v>
      </c>
      <c r="E166">
        <v>793.23</v>
      </c>
      <c r="F166">
        <v>260</v>
      </c>
      <c r="G166">
        <v>20.34</v>
      </c>
      <c r="H166">
        <v>13.32</v>
      </c>
      <c r="I166" t="s">
        <v>25</v>
      </c>
      <c r="J166">
        <v>491</v>
      </c>
      <c r="K166">
        <v>20.02</v>
      </c>
      <c r="L166">
        <v>429</v>
      </c>
      <c r="M166">
        <v>66.75</v>
      </c>
      <c r="N166">
        <v>82.18</v>
      </c>
      <c r="O166">
        <v>162</v>
      </c>
      <c r="P166">
        <v>3.59</v>
      </c>
    </row>
    <row r="167" spans="1:16" x14ac:dyDescent="0.25">
      <c r="A167" t="s">
        <v>42</v>
      </c>
      <c r="B167" t="s">
        <v>17</v>
      </c>
      <c r="C167" t="s">
        <v>37</v>
      </c>
      <c r="D167">
        <v>804</v>
      </c>
      <c r="E167">
        <v>1549.87</v>
      </c>
      <c r="F167">
        <v>406</v>
      </c>
      <c r="G167">
        <v>291.77</v>
      </c>
      <c r="H167">
        <v>29.5</v>
      </c>
      <c r="I167" t="s">
        <v>31</v>
      </c>
      <c r="J167">
        <v>286</v>
      </c>
      <c r="K167">
        <v>38.36</v>
      </c>
      <c r="L167">
        <v>314</v>
      </c>
      <c r="M167">
        <v>97.74</v>
      </c>
      <c r="N167">
        <v>97.06</v>
      </c>
      <c r="O167">
        <v>67</v>
      </c>
      <c r="P167">
        <v>2.14</v>
      </c>
    </row>
    <row r="168" spans="1:16" x14ac:dyDescent="0.25">
      <c r="A168" t="s">
        <v>20</v>
      </c>
      <c r="B168" t="s">
        <v>21</v>
      </c>
      <c r="C168" t="s">
        <v>18</v>
      </c>
      <c r="D168">
        <v>855</v>
      </c>
      <c r="E168">
        <v>1251.73</v>
      </c>
      <c r="F168">
        <v>488</v>
      </c>
      <c r="G168">
        <v>436.33</v>
      </c>
      <c r="H168">
        <v>15.03</v>
      </c>
      <c r="I168" t="s">
        <v>25</v>
      </c>
      <c r="J168">
        <v>800</v>
      </c>
      <c r="K168">
        <v>13.1</v>
      </c>
      <c r="L168">
        <v>475</v>
      </c>
      <c r="M168">
        <v>69</v>
      </c>
      <c r="N168">
        <v>85.25</v>
      </c>
      <c r="O168">
        <v>52</v>
      </c>
      <c r="P168">
        <v>5.44</v>
      </c>
    </row>
    <row r="169" spans="1:16" x14ac:dyDescent="0.25">
      <c r="A169" t="s">
        <v>20</v>
      </c>
      <c r="B169" t="s">
        <v>33</v>
      </c>
      <c r="C169" t="s">
        <v>24</v>
      </c>
      <c r="D169">
        <v>555</v>
      </c>
      <c r="E169">
        <v>593.53</v>
      </c>
      <c r="F169">
        <v>391</v>
      </c>
      <c r="G169">
        <v>181</v>
      </c>
      <c r="H169">
        <v>28.54</v>
      </c>
      <c r="I169" t="s">
        <v>25</v>
      </c>
      <c r="J169">
        <v>80</v>
      </c>
      <c r="K169">
        <v>38.869999999999997</v>
      </c>
      <c r="L169">
        <v>15</v>
      </c>
      <c r="M169">
        <v>82.77</v>
      </c>
      <c r="N169">
        <v>89.08</v>
      </c>
      <c r="O169">
        <v>398</v>
      </c>
      <c r="P169">
        <v>7.63</v>
      </c>
    </row>
    <row r="170" spans="1:16" x14ac:dyDescent="0.25">
      <c r="A170" t="s">
        <v>38</v>
      </c>
      <c r="B170" t="s">
        <v>23</v>
      </c>
      <c r="C170" t="s">
        <v>18</v>
      </c>
      <c r="D170">
        <v>1243</v>
      </c>
      <c r="E170">
        <v>2326.13</v>
      </c>
      <c r="F170">
        <v>123</v>
      </c>
      <c r="G170">
        <v>123.09</v>
      </c>
      <c r="H170">
        <v>21.51</v>
      </c>
      <c r="I170" t="s">
        <v>29</v>
      </c>
      <c r="J170">
        <v>883</v>
      </c>
      <c r="K170">
        <v>35.14</v>
      </c>
      <c r="L170">
        <v>370</v>
      </c>
      <c r="M170">
        <v>70.77</v>
      </c>
      <c r="N170">
        <v>84.52</v>
      </c>
      <c r="O170">
        <v>174</v>
      </c>
      <c r="P170">
        <v>4.7699999999999996</v>
      </c>
    </row>
    <row r="171" spans="1:16" x14ac:dyDescent="0.25">
      <c r="A171" t="s">
        <v>26</v>
      </c>
      <c r="B171" t="s">
        <v>17</v>
      </c>
      <c r="C171" t="s">
        <v>44</v>
      </c>
      <c r="D171">
        <v>1984</v>
      </c>
      <c r="E171">
        <v>2666.19</v>
      </c>
      <c r="F171">
        <v>310</v>
      </c>
      <c r="G171">
        <v>457.19</v>
      </c>
      <c r="H171">
        <v>19.55</v>
      </c>
      <c r="I171" t="s">
        <v>29</v>
      </c>
      <c r="J171">
        <v>793</v>
      </c>
      <c r="K171">
        <v>24.54</v>
      </c>
      <c r="L171">
        <v>423</v>
      </c>
      <c r="M171">
        <v>90.87</v>
      </c>
      <c r="N171">
        <v>95.98</v>
      </c>
      <c r="O171">
        <v>397</v>
      </c>
      <c r="P171">
        <v>3.97</v>
      </c>
    </row>
    <row r="172" spans="1:16" x14ac:dyDescent="0.25">
      <c r="A172" t="s">
        <v>36</v>
      </c>
      <c r="B172" t="s">
        <v>33</v>
      </c>
      <c r="C172" t="s">
        <v>28</v>
      </c>
      <c r="D172">
        <v>1433</v>
      </c>
      <c r="E172">
        <v>1389.56</v>
      </c>
      <c r="F172">
        <v>132</v>
      </c>
      <c r="G172">
        <v>385.5</v>
      </c>
      <c r="H172">
        <v>27.93</v>
      </c>
      <c r="I172" t="s">
        <v>19</v>
      </c>
      <c r="J172">
        <v>675</v>
      </c>
      <c r="K172">
        <v>45.31</v>
      </c>
      <c r="L172">
        <v>357</v>
      </c>
      <c r="M172">
        <v>81.5</v>
      </c>
      <c r="N172">
        <v>97.02</v>
      </c>
      <c r="O172">
        <v>109</v>
      </c>
      <c r="P172">
        <v>1.0900000000000001</v>
      </c>
    </row>
    <row r="173" spans="1:16" x14ac:dyDescent="0.25">
      <c r="A173" t="s">
        <v>16</v>
      </c>
      <c r="B173" t="s">
        <v>17</v>
      </c>
      <c r="C173" t="s">
        <v>45</v>
      </c>
      <c r="D173">
        <v>1059</v>
      </c>
      <c r="E173">
        <v>1928.54</v>
      </c>
      <c r="F173">
        <v>403</v>
      </c>
      <c r="G173">
        <v>32.93</v>
      </c>
      <c r="H173">
        <v>15.66</v>
      </c>
      <c r="I173" t="s">
        <v>19</v>
      </c>
      <c r="J173">
        <v>979</v>
      </c>
      <c r="K173">
        <v>2.46</v>
      </c>
      <c r="L173">
        <v>494</v>
      </c>
      <c r="M173">
        <v>81.650000000000006</v>
      </c>
      <c r="N173">
        <v>93.1</v>
      </c>
      <c r="O173">
        <v>238</v>
      </c>
      <c r="P173">
        <v>9.2200000000000006</v>
      </c>
    </row>
    <row r="174" spans="1:16" x14ac:dyDescent="0.25">
      <c r="A174" t="s">
        <v>36</v>
      </c>
      <c r="B174" t="s">
        <v>21</v>
      </c>
      <c r="C174" t="s">
        <v>34</v>
      </c>
      <c r="D174">
        <v>959</v>
      </c>
      <c r="E174">
        <v>1797.07</v>
      </c>
      <c r="F174">
        <v>116</v>
      </c>
      <c r="G174">
        <v>218.93</v>
      </c>
      <c r="H174">
        <v>20.86</v>
      </c>
      <c r="I174" t="s">
        <v>25</v>
      </c>
      <c r="J174">
        <v>569</v>
      </c>
      <c r="K174">
        <v>20.03</v>
      </c>
      <c r="L174">
        <v>369</v>
      </c>
      <c r="M174">
        <v>87.6</v>
      </c>
      <c r="N174">
        <v>81.040000000000006</v>
      </c>
      <c r="O174">
        <v>383</v>
      </c>
      <c r="P174">
        <v>6.47</v>
      </c>
    </row>
    <row r="175" spans="1:16" x14ac:dyDescent="0.25">
      <c r="A175" t="s">
        <v>38</v>
      </c>
      <c r="B175" t="s">
        <v>30</v>
      </c>
      <c r="C175" t="s">
        <v>32</v>
      </c>
      <c r="D175">
        <v>295</v>
      </c>
      <c r="E175">
        <v>323.05</v>
      </c>
      <c r="F175">
        <v>235</v>
      </c>
      <c r="G175">
        <v>324.02</v>
      </c>
      <c r="H175">
        <v>7.89</v>
      </c>
      <c r="I175" t="s">
        <v>25</v>
      </c>
      <c r="J175">
        <v>439</v>
      </c>
      <c r="K175">
        <v>5.55</v>
      </c>
      <c r="L175">
        <v>21</v>
      </c>
      <c r="M175">
        <v>90.46</v>
      </c>
      <c r="N175">
        <v>84.65</v>
      </c>
      <c r="O175">
        <v>271</v>
      </c>
      <c r="P175">
        <v>2.1</v>
      </c>
    </row>
    <row r="176" spans="1:16" x14ac:dyDescent="0.25">
      <c r="A176" t="s">
        <v>38</v>
      </c>
      <c r="B176" t="s">
        <v>21</v>
      </c>
      <c r="C176" t="s">
        <v>18</v>
      </c>
      <c r="D176">
        <v>402</v>
      </c>
      <c r="E176">
        <v>721.96</v>
      </c>
      <c r="F176">
        <v>226</v>
      </c>
      <c r="G176">
        <v>439.23</v>
      </c>
      <c r="H176">
        <v>8.2799999999999994</v>
      </c>
      <c r="I176" t="s">
        <v>31</v>
      </c>
      <c r="J176">
        <v>552</v>
      </c>
      <c r="K176">
        <v>3.25</v>
      </c>
      <c r="L176">
        <v>487</v>
      </c>
      <c r="M176">
        <v>97.41</v>
      </c>
      <c r="N176">
        <v>98.88</v>
      </c>
      <c r="O176">
        <v>375</v>
      </c>
      <c r="P176">
        <v>7.18</v>
      </c>
    </row>
    <row r="177" spans="1:16" x14ac:dyDescent="0.25">
      <c r="A177" t="s">
        <v>42</v>
      </c>
      <c r="B177" t="s">
        <v>17</v>
      </c>
      <c r="C177" t="s">
        <v>32</v>
      </c>
      <c r="D177">
        <v>1002</v>
      </c>
      <c r="E177">
        <v>1428.43</v>
      </c>
      <c r="F177">
        <v>163</v>
      </c>
      <c r="G177">
        <v>101.95</v>
      </c>
      <c r="H177">
        <v>27.24</v>
      </c>
      <c r="I177" t="s">
        <v>29</v>
      </c>
      <c r="J177">
        <v>603</v>
      </c>
      <c r="K177">
        <v>35</v>
      </c>
      <c r="L177">
        <v>86</v>
      </c>
      <c r="M177">
        <v>67.760000000000005</v>
      </c>
      <c r="N177">
        <v>83.99</v>
      </c>
      <c r="O177">
        <v>491</v>
      </c>
      <c r="P177">
        <v>4.97</v>
      </c>
    </row>
    <row r="178" spans="1:16" x14ac:dyDescent="0.25">
      <c r="A178" t="s">
        <v>42</v>
      </c>
      <c r="B178" t="s">
        <v>33</v>
      </c>
      <c r="C178" t="s">
        <v>24</v>
      </c>
      <c r="D178">
        <v>1295</v>
      </c>
      <c r="E178">
        <v>2110.98</v>
      </c>
      <c r="F178">
        <v>102</v>
      </c>
      <c r="G178">
        <v>358.29</v>
      </c>
      <c r="H178">
        <v>26.23</v>
      </c>
      <c r="I178" t="s">
        <v>25</v>
      </c>
      <c r="J178">
        <v>280</v>
      </c>
      <c r="K178">
        <v>22.02</v>
      </c>
      <c r="L178">
        <v>478</v>
      </c>
      <c r="M178">
        <v>91.55</v>
      </c>
      <c r="N178">
        <v>83.67</v>
      </c>
      <c r="O178">
        <v>363</v>
      </c>
      <c r="P178">
        <v>6.61</v>
      </c>
    </row>
    <row r="179" spans="1:16" x14ac:dyDescent="0.25">
      <c r="A179" t="s">
        <v>43</v>
      </c>
      <c r="B179" t="s">
        <v>33</v>
      </c>
      <c r="C179" t="s">
        <v>34</v>
      </c>
      <c r="D179">
        <v>1063</v>
      </c>
      <c r="E179">
        <v>1254.72</v>
      </c>
      <c r="F179">
        <v>62</v>
      </c>
      <c r="G179">
        <v>181.19</v>
      </c>
      <c r="H179">
        <v>7.77</v>
      </c>
      <c r="I179" t="s">
        <v>19</v>
      </c>
      <c r="J179">
        <v>492</v>
      </c>
      <c r="K179">
        <v>16.32</v>
      </c>
      <c r="L179">
        <v>169</v>
      </c>
      <c r="M179">
        <v>76.650000000000006</v>
      </c>
      <c r="N179">
        <v>80.5</v>
      </c>
      <c r="O179">
        <v>110</v>
      </c>
      <c r="P179">
        <v>3.01</v>
      </c>
    </row>
    <row r="180" spans="1:16" x14ac:dyDescent="0.25">
      <c r="A180" t="s">
        <v>43</v>
      </c>
      <c r="B180" t="s">
        <v>17</v>
      </c>
      <c r="C180" t="s">
        <v>22</v>
      </c>
      <c r="D180">
        <v>720</v>
      </c>
      <c r="E180">
        <v>1379.83</v>
      </c>
      <c r="F180">
        <v>12</v>
      </c>
      <c r="G180">
        <v>36.76</v>
      </c>
      <c r="H180">
        <v>7.4</v>
      </c>
      <c r="I180" t="s">
        <v>29</v>
      </c>
      <c r="J180">
        <v>430</v>
      </c>
      <c r="K180">
        <v>42.69</v>
      </c>
      <c r="L180">
        <v>118</v>
      </c>
      <c r="M180">
        <v>71.77</v>
      </c>
      <c r="N180">
        <v>80.239999999999995</v>
      </c>
      <c r="O180">
        <v>366</v>
      </c>
      <c r="P180">
        <v>1.4</v>
      </c>
    </row>
    <row r="181" spans="1:16" x14ac:dyDescent="0.25">
      <c r="A181" t="s">
        <v>42</v>
      </c>
      <c r="B181" t="s">
        <v>17</v>
      </c>
      <c r="C181" t="s">
        <v>32</v>
      </c>
      <c r="D181">
        <v>725</v>
      </c>
      <c r="E181">
        <v>623.71</v>
      </c>
      <c r="F181">
        <v>18</v>
      </c>
      <c r="G181">
        <v>102.04</v>
      </c>
      <c r="H181">
        <v>15.4</v>
      </c>
      <c r="I181" t="s">
        <v>19</v>
      </c>
      <c r="J181">
        <v>364</v>
      </c>
      <c r="K181">
        <v>47.05</v>
      </c>
      <c r="L181">
        <v>337</v>
      </c>
      <c r="M181">
        <v>54.31</v>
      </c>
      <c r="N181">
        <v>96.89</v>
      </c>
      <c r="O181">
        <v>250</v>
      </c>
      <c r="P181">
        <v>8.16</v>
      </c>
    </row>
    <row r="182" spans="1:16" x14ac:dyDescent="0.25">
      <c r="A182" t="s">
        <v>20</v>
      </c>
      <c r="B182" t="s">
        <v>30</v>
      </c>
      <c r="C182" t="s">
        <v>34</v>
      </c>
      <c r="D182">
        <v>828</v>
      </c>
      <c r="E182">
        <v>1526.3</v>
      </c>
      <c r="F182">
        <v>99</v>
      </c>
      <c r="G182">
        <v>173.85</v>
      </c>
      <c r="H182">
        <v>27.82</v>
      </c>
      <c r="I182" t="s">
        <v>25</v>
      </c>
      <c r="J182">
        <v>649</v>
      </c>
      <c r="K182">
        <v>39.729999999999997</v>
      </c>
      <c r="L182">
        <v>275</v>
      </c>
      <c r="M182">
        <v>81.400000000000006</v>
      </c>
      <c r="N182">
        <v>93.91</v>
      </c>
      <c r="O182">
        <v>341</v>
      </c>
      <c r="P182">
        <v>8.3699999999999992</v>
      </c>
    </row>
    <row r="183" spans="1:16" x14ac:dyDescent="0.25">
      <c r="A183" t="s">
        <v>20</v>
      </c>
      <c r="B183" t="s">
        <v>30</v>
      </c>
      <c r="C183" t="s">
        <v>37</v>
      </c>
      <c r="D183">
        <v>1330</v>
      </c>
      <c r="E183">
        <v>1227.96</v>
      </c>
      <c r="F183">
        <v>452</v>
      </c>
      <c r="G183">
        <v>277.49</v>
      </c>
      <c r="H183">
        <v>14.8</v>
      </c>
      <c r="I183" t="s">
        <v>29</v>
      </c>
      <c r="J183">
        <v>574</v>
      </c>
      <c r="K183">
        <v>43.25</v>
      </c>
      <c r="L183">
        <v>85</v>
      </c>
      <c r="M183">
        <v>94.81</v>
      </c>
      <c r="N183">
        <v>94.41</v>
      </c>
      <c r="O183">
        <v>310</v>
      </c>
      <c r="P183">
        <v>2.89</v>
      </c>
    </row>
    <row r="184" spans="1:16" x14ac:dyDescent="0.25">
      <c r="A184" t="s">
        <v>26</v>
      </c>
      <c r="B184" t="s">
        <v>27</v>
      </c>
      <c r="C184" t="s">
        <v>28</v>
      </c>
      <c r="D184">
        <v>978</v>
      </c>
      <c r="E184">
        <v>1017.64</v>
      </c>
      <c r="F184">
        <v>443</v>
      </c>
      <c r="G184">
        <v>432.56</v>
      </c>
      <c r="H184">
        <v>29.2</v>
      </c>
      <c r="I184" t="s">
        <v>31</v>
      </c>
      <c r="J184">
        <v>232</v>
      </c>
      <c r="K184">
        <v>31.3</v>
      </c>
      <c r="L184">
        <v>102</v>
      </c>
      <c r="M184">
        <v>52.58</v>
      </c>
      <c r="N184">
        <v>98.19</v>
      </c>
      <c r="O184">
        <v>483</v>
      </c>
      <c r="P184">
        <v>2.54</v>
      </c>
    </row>
    <row r="185" spans="1:16" x14ac:dyDescent="0.25">
      <c r="A185" t="s">
        <v>38</v>
      </c>
      <c r="B185" t="s">
        <v>27</v>
      </c>
      <c r="C185" t="s">
        <v>37</v>
      </c>
      <c r="D185">
        <v>524</v>
      </c>
      <c r="E185">
        <v>575.42999999999995</v>
      </c>
      <c r="F185">
        <v>346</v>
      </c>
      <c r="G185">
        <v>62.96</v>
      </c>
      <c r="H185">
        <v>20.8</v>
      </c>
      <c r="I185" t="s">
        <v>31</v>
      </c>
      <c r="J185">
        <v>369</v>
      </c>
      <c r="K185">
        <v>30.1</v>
      </c>
      <c r="L185">
        <v>180</v>
      </c>
      <c r="M185">
        <v>63.45</v>
      </c>
      <c r="N185">
        <v>81.83</v>
      </c>
      <c r="O185">
        <v>353</v>
      </c>
      <c r="P185">
        <v>9.27</v>
      </c>
    </row>
    <row r="186" spans="1:16" x14ac:dyDescent="0.25">
      <c r="A186" t="s">
        <v>36</v>
      </c>
      <c r="B186" t="s">
        <v>17</v>
      </c>
      <c r="C186" t="s">
        <v>24</v>
      </c>
      <c r="D186">
        <v>1142</v>
      </c>
      <c r="E186">
        <v>749.8</v>
      </c>
      <c r="F186">
        <v>112</v>
      </c>
      <c r="G186">
        <v>96.01</v>
      </c>
      <c r="H186">
        <v>24.41</v>
      </c>
      <c r="I186" t="s">
        <v>31</v>
      </c>
      <c r="J186">
        <v>56</v>
      </c>
      <c r="K186">
        <v>26.74</v>
      </c>
      <c r="L186">
        <v>222</v>
      </c>
      <c r="M186">
        <v>84.18</v>
      </c>
      <c r="N186">
        <v>95.2</v>
      </c>
      <c r="O186">
        <v>146</v>
      </c>
      <c r="P186">
        <v>3.09</v>
      </c>
    </row>
    <row r="187" spans="1:16" x14ac:dyDescent="0.25">
      <c r="A187" t="s">
        <v>20</v>
      </c>
      <c r="B187" t="s">
        <v>23</v>
      </c>
      <c r="C187" t="s">
        <v>45</v>
      </c>
      <c r="D187">
        <v>1623</v>
      </c>
      <c r="E187">
        <v>1702.53</v>
      </c>
      <c r="F187">
        <v>161</v>
      </c>
      <c r="G187">
        <v>120.97</v>
      </c>
      <c r="H187">
        <v>21.11</v>
      </c>
      <c r="I187" t="s">
        <v>29</v>
      </c>
      <c r="J187">
        <v>948</v>
      </c>
      <c r="K187">
        <v>22.17</v>
      </c>
      <c r="L187">
        <v>444</v>
      </c>
      <c r="M187">
        <v>76.14</v>
      </c>
      <c r="N187">
        <v>82.06</v>
      </c>
      <c r="O187">
        <v>307</v>
      </c>
      <c r="P187">
        <v>5.3</v>
      </c>
    </row>
    <row r="188" spans="1:16" x14ac:dyDescent="0.25">
      <c r="A188" t="s">
        <v>43</v>
      </c>
      <c r="B188" t="s">
        <v>21</v>
      </c>
      <c r="C188" t="s">
        <v>44</v>
      </c>
      <c r="D188">
        <v>403</v>
      </c>
      <c r="E188">
        <v>588.16999999999996</v>
      </c>
      <c r="F188">
        <v>255</v>
      </c>
      <c r="G188">
        <v>446.38</v>
      </c>
      <c r="H188">
        <v>7.15</v>
      </c>
      <c r="I188" t="s">
        <v>25</v>
      </c>
      <c r="J188">
        <v>479</v>
      </c>
      <c r="K188">
        <v>16.57</v>
      </c>
      <c r="L188">
        <v>201</v>
      </c>
      <c r="M188">
        <v>64.77</v>
      </c>
      <c r="N188">
        <v>86.74</v>
      </c>
      <c r="O188">
        <v>314</v>
      </c>
      <c r="P188">
        <v>4.91</v>
      </c>
    </row>
    <row r="189" spans="1:16" x14ac:dyDescent="0.25">
      <c r="A189" t="s">
        <v>43</v>
      </c>
      <c r="B189" t="s">
        <v>30</v>
      </c>
      <c r="C189" t="s">
        <v>37</v>
      </c>
      <c r="D189">
        <v>1827</v>
      </c>
      <c r="E189">
        <v>2653.13</v>
      </c>
      <c r="F189">
        <v>386</v>
      </c>
      <c r="G189">
        <v>276.8</v>
      </c>
      <c r="H189">
        <v>6.3</v>
      </c>
      <c r="I189" t="s">
        <v>29</v>
      </c>
      <c r="J189">
        <v>999</v>
      </c>
      <c r="K189">
        <v>26.76</v>
      </c>
      <c r="L189">
        <v>49</v>
      </c>
      <c r="M189">
        <v>64.39</v>
      </c>
      <c r="N189">
        <v>85.94</v>
      </c>
      <c r="O189">
        <v>305</v>
      </c>
      <c r="P189">
        <v>2.91</v>
      </c>
    </row>
    <row r="190" spans="1:16" x14ac:dyDescent="0.25">
      <c r="A190" t="s">
        <v>36</v>
      </c>
      <c r="B190" t="s">
        <v>17</v>
      </c>
      <c r="C190" t="s">
        <v>45</v>
      </c>
      <c r="D190">
        <v>1350</v>
      </c>
      <c r="E190">
        <v>1689.58</v>
      </c>
      <c r="F190">
        <v>70</v>
      </c>
      <c r="G190">
        <v>476.45</v>
      </c>
      <c r="H190">
        <v>16.16</v>
      </c>
      <c r="I190" t="s">
        <v>25</v>
      </c>
      <c r="J190">
        <v>685</v>
      </c>
      <c r="K190">
        <v>39.770000000000003</v>
      </c>
      <c r="L190">
        <v>86</v>
      </c>
      <c r="M190">
        <v>82.59</v>
      </c>
      <c r="N190">
        <v>92.49</v>
      </c>
      <c r="O190">
        <v>198</v>
      </c>
      <c r="P190">
        <v>9.85</v>
      </c>
    </row>
    <row r="191" spans="1:16" x14ac:dyDescent="0.25">
      <c r="A191" t="s">
        <v>43</v>
      </c>
      <c r="B191" t="s">
        <v>27</v>
      </c>
      <c r="C191" t="s">
        <v>39</v>
      </c>
      <c r="D191">
        <v>1641</v>
      </c>
      <c r="E191">
        <v>3079.49</v>
      </c>
      <c r="F191">
        <v>482</v>
      </c>
      <c r="G191">
        <v>29.09</v>
      </c>
      <c r="H191">
        <v>9.7799999999999994</v>
      </c>
      <c r="I191" t="s">
        <v>31</v>
      </c>
      <c r="J191">
        <v>752</v>
      </c>
      <c r="K191">
        <v>41.96</v>
      </c>
      <c r="L191">
        <v>60</v>
      </c>
      <c r="M191">
        <v>96.84</v>
      </c>
      <c r="N191">
        <v>86.21</v>
      </c>
      <c r="O191">
        <v>432</v>
      </c>
      <c r="P191">
        <v>6.16</v>
      </c>
    </row>
    <row r="192" spans="1:16" x14ac:dyDescent="0.25">
      <c r="A192" t="s">
        <v>41</v>
      </c>
      <c r="B192" t="s">
        <v>30</v>
      </c>
      <c r="C192" t="s">
        <v>28</v>
      </c>
      <c r="D192">
        <v>1394</v>
      </c>
      <c r="E192">
        <v>739.03</v>
      </c>
      <c r="F192">
        <v>357</v>
      </c>
      <c r="G192">
        <v>425.22</v>
      </c>
      <c r="H192">
        <v>8.09</v>
      </c>
      <c r="I192" t="s">
        <v>25</v>
      </c>
      <c r="J192">
        <v>320</v>
      </c>
      <c r="K192">
        <v>42.49</v>
      </c>
      <c r="L192">
        <v>400</v>
      </c>
      <c r="M192">
        <v>51.36</v>
      </c>
      <c r="N192">
        <v>84.31</v>
      </c>
      <c r="O192">
        <v>354</v>
      </c>
      <c r="P192">
        <v>1.21</v>
      </c>
    </row>
    <row r="193" spans="1:16" x14ac:dyDescent="0.25">
      <c r="A193" t="s">
        <v>38</v>
      </c>
      <c r="B193" t="s">
        <v>21</v>
      </c>
      <c r="C193" t="s">
        <v>44</v>
      </c>
      <c r="D193">
        <v>1702</v>
      </c>
      <c r="E193">
        <v>2380.1</v>
      </c>
      <c r="F193">
        <v>159</v>
      </c>
      <c r="G193">
        <v>483.9</v>
      </c>
      <c r="H193">
        <v>27.12</v>
      </c>
      <c r="I193" t="s">
        <v>31</v>
      </c>
      <c r="J193">
        <v>34</v>
      </c>
      <c r="K193">
        <v>16.13</v>
      </c>
      <c r="L193">
        <v>87</v>
      </c>
      <c r="M193">
        <v>77.39</v>
      </c>
      <c r="N193">
        <v>85.04</v>
      </c>
      <c r="O193">
        <v>202</v>
      </c>
      <c r="P193">
        <v>7.1</v>
      </c>
    </row>
    <row r="194" spans="1:16" x14ac:dyDescent="0.25">
      <c r="A194" t="s">
        <v>43</v>
      </c>
      <c r="B194" t="s">
        <v>17</v>
      </c>
      <c r="C194" t="s">
        <v>22</v>
      </c>
      <c r="D194">
        <v>571</v>
      </c>
      <c r="E194">
        <v>620.20000000000005</v>
      </c>
      <c r="F194">
        <v>250</v>
      </c>
      <c r="G194">
        <v>359.52</v>
      </c>
      <c r="H194">
        <v>15.3</v>
      </c>
      <c r="I194" t="s">
        <v>31</v>
      </c>
      <c r="J194">
        <v>271</v>
      </c>
      <c r="K194">
        <v>37.76</v>
      </c>
      <c r="L194">
        <v>193</v>
      </c>
      <c r="M194">
        <v>53.72</v>
      </c>
      <c r="N194">
        <v>80.16</v>
      </c>
      <c r="O194">
        <v>404</v>
      </c>
      <c r="P194">
        <v>6.97</v>
      </c>
    </row>
    <row r="195" spans="1:16" x14ac:dyDescent="0.25">
      <c r="A195" t="s">
        <v>36</v>
      </c>
      <c r="B195" t="s">
        <v>23</v>
      </c>
      <c r="C195" t="s">
        <v>18</v>
      </c>
      <c r="D195">
        <v>1080</v>
      </c>
      <c r="E195">
        <v>935.58</v>
      </c>
      <c r="F195">
        <v>390</v>
      </c>
      <c r="G195">
        <v>396.65</v>
      </c>
      <c r="H195">
        <v>23.78</v>
      </c>
      <c r="I195" t="s">
        <v>31</v>
      </c>
      <c r="J195">
        <v>353</v>
      </c>
      <c r="K195">
        <v>34.380000000000003</v>
      </c>
      <c r="L195">
        <v>350</v>
      </c>
      <c r="M195">
        <v>53.68</v>
      </c>
      <c r="N195">
        <v>95.31</v>
      </c>
      <c r="O195">
        <v>165</v>
      </c>
      <c r="P195">
        <v>6.68</v>
      </c>
    </row>
    <row r="196" spans="1:16" x14ac:dyDescent="0.25">
      <c r="A196" t="s">
        <v>41</v>
      </c>
      <c r="B196" t="s">
        <v>33</v>
      </c>
      <c r="C196" t="s">
        <v>32</v>
      </c>
      <c r="D196">
        <v>1588</v>
      </c>
      <c r="E196">
        <v>2404.1</v>
      </c>
      <c r="F196">
        <v>367</v>
      </c>
      <c r="G196">
        <v>97.74</v>
      </c>
      <c r="H196">
        <v>15.63</v>
      </c>
      <c r="I196" t="s">
        <v>31</v>
      </c>
      <c r="J196">
        <v>415</v>
      </c>
      <c r="K196">
        <v>35.83</v>
      </c>
      <c r="L196">
        <v>303</v>
      </c>
      <c r="M196">
        <v>72.08</v>
      </c>
      <c r="N196">
        <v>96.98</v>
      </c>
      <c r="O196">
        <v>189</v>
      </c>
      <c r="P196">
        <v>1.71</v>
      </c>
    </row>
    <row r="197" spans="1:16" x14ac:dyDescent="0.25">
      <c r="A197" t="s">
        <v>42</v>
      </c>
      <c r="B197" t="s">
        <v>21</v>
      </c>
      <c r="C197" t="s">
        <v>28</v>
      </c>
      <c r="D197">
        <v>228</v>
      </c>
      <c r="E197">
        <v>239.77</v>
      </c>
      <c r="F197">
        <v>336</v>
      </c>
      <c r="G197">
        <v>200.9</v>
      </c>
      <c r="H197">
        <v>25.92</v>
      </c>
      <c r="I197" t="s">
        <v>31</v>
      </c>
      <c r="J197">
        <v>366</v>
      </c>
      <c r="K197">
        <v>27.34</v>
      </c>
      <c r="L197">
        <v>365</v>
      </c>
      <c r="M197">
        <v>65.05</v>
      </c>
      <c r="N197">
        <v>92.61</v>
      </c>
      <c r="O197">
        <v>73</v>
      </c>
      <c r="P197">
        <v>9.66</v>
      </c>
    </row>
    <row r="198" spans="1:16" x14ac:dyDescent="0.25">
      <c r="A198" t="s">
        <v>20</v>
      </c>
      <c r="B198" t="s">
        <v>33</v>
      </c>
      <c r="C198" t="s">
        <v>34</v>
      </c>
      <c r="D198">
        <v>707</v>
      </c>
      <c r="E198">
        <v>1134.4000000000001</v>
      </c>
      <c r="F198">
        <v>132</v>
      </c>
      <c r="G198">
        <v>57.66</v>
      </c>
      <c r="H198">
        <v>11.53</v>
      </c>
      <c r="I198" t="s">
        <v>25</v>
      </c>
      <c r="J198">
        <v>165</v>
      </c>
      <c r="K198">
        <v>38.32</v>
      </c>
      <c r="L198">
        <v>252</v>
      </c>
      <c r="M198">
        <v>70.7</v>
      </c>
      <c r="N198">
        <v>88.72</v>
      </c>
      <c r="O198">
        <v>120</v>
      </c>
      <c r="P198">
        <v>6.4</v>
      </c>
    </row>
    <row r="199" spans="1:16" x14ac:dyDescent="0.25">
      <c r="A199" t="s">
        <v>26</v>
      </c>
      <c r="B199" t="s">
        <v>33</v>
      </c>
      <c r="C199" t="s">
        <v>44</v>
      </c>
      <c r="D199">
        <v>1198</v>
      </c>
      <c r="E199">
        <v>1153.27</v>
      </c>
      <c r="F199">
        <v>120</v>
      </c>
      <c r="G199">
        <v>372.5</v>
      </c>
      <c r="H199">
        <v>6.17</v>
      </c>
      <c r="I199" t="s">
        <v>19</v>
      </c>
      <c r="J199">
        <v>103</v>
      </c>
      <c r="K199">
        <v>15.75</v>
      </c>
      <c r="L199">
        <v>351</v>
      </c>
      <c r="M199">
        <v>68.790000000000006</v>
      </c>
      <c r="N199">
        <v>90.67</v>
      </c>
      <c r="O199">
        <v>190</v>
      </c>
      <c r="P199">
        <v>8.2100000000000009</v>
      </c>
    </row>
    <row r="200" spans="1:16" x14ac:dyDescent="0.25">
      <c r="A200" t="s">
        <v>26</v>
      </c>
      <c r="B200" t="s">
        <v>27</v>
      </c>
      <c r="C200" t="s">
        <v>44</v>
      </c>
      <c r="D200">
        <v>935</v>
      </c>
      <c r="E200">
        <v>829.79</v>
      </c>
      <c r="F200">
        <v>168</v>
      </c>
      <c r="G200">
        <v>379.76</v>
      </c>
      <c r="H200">
        <v>11.73</v>
      </c>
      <c r="I200" t="s">
        <v>31</v>
      </c>
      <c r="J200">
        <v>391</v>
      </c>
      <c r="K200">
        <v>45.71</v>
      </c>
      <c r="L200">
        <v>159</v>
      </c>
      <c r="M200">
        <v>78.55</v>
      </c>
      <c r="N200">
        <v>84.11</v>
      </c>
      <c r="O200">
        <v>112</v>
      </c>
      <c r="P200">
        <v>3.11</v>
      </c>
    </row>
    <row r="201" spans="1:16" x14ac:dyDescent="0.25">
      <c r="A201" t="s">
        <v>43</v>
      </c>
      <c r="B201" t="s">
        <v>33</v>
      </c>
      <c r="C201" t="s">
        <v>45</v>
      </c>
      <c r="D201">
        <v>323</v>
      </c>
      <c r="E201">
        <v>207.4</v>
      </c>
      <c r="F201">
        <v>483</v>
      </c>
      <c r="G201">
        <v>126.7</v>
      </c>
      <c r="H201">
        <v>16.059999999999999</v>
      </c>
      <c r="I201" t="s">
        <v>25</v>
      </c>
      <c r="J201">
        <v>514</v>
      </c>
      <c r="K201">
        <v>10.24</v>
      </c>
      <c r="L201">
        <v>174</v>
      </c>
      <c r="M201">
        <v>56.54</v>
      </c>
      <c r="N201">
        <v>82.39</v>
      </c>
      <c r="O201">
        <v>105</v>
      </c>
      <c r="P201">
        <v>4.54</v>
      </c>
    </row>
    <row r="202" spans="1:16" x14ac:dyDescent="0.25">
      <c r="A202" t="s">
        <v>42</v>
      </c>
      <c r="B202" t="s">
        <v>33</v>
      </c>
      <c r="C202" t="s">
        <v>40</v>
      </c>
      <c r="D202">
        <v>550</v>
      </c>
      <c r="E202">
        <v>663.45</v>
      </c>
      <c r="F202">
        <v>91</v>
      </c>
      <c r="G202">
        <v>166.74</v>
      </c>
      <c r="H202">
        <v>11.78</v>
      </c>
      <c r="I202" t="s">
        <v>19</v>
      </c>
      <c r="J202">
        <v>541</v>
      </c>
      <c r="K202">
        <v>39.92</v>
      </c>
      <c r="L202">
        <v>135</v>
      </c>
      <c r="M202">
        <v>86.23</v>
      </c>
      <c r="N202">
        <v>98</v>
      </c>
      <c r="O202">
        <v>175</v>
      </c>
      <c r="P202">
        <v>8.56</v>
      </c>
    </row>
    <row r="203" spans="1:16" x14ac:dyDescent="0.25">
      <c r="A203" t="s">
        <v>26</v>
      </c>
      <c r="B203" t="s">
        <v>33</v>
      </c>
      <c r="C203" t="s">
        <v>40</v>
      </c>
      <c r="D203">
        <v>1249</v>
      </c>
      <c r="E203">
        <v>1519.37</v>
      </c>
      <c r="F203">
        <v>35</v>
      </c>
      <c r="G203">
        <v>279.08999999999997</v>
      </c>
      <c r="H203">
        <v>5.91</v>
      </c>
      <c r="I203" t="s">
        <v>29</v>
      </c>
      <c r="J203">
        <v>632</v>
      </c>
      <c r="K203">
        <v>39.369999999999997</v>
      </c>
      <c r="L203">
        <v>276</v>
      </c>
      <c r="M203">
        <v>69.150000000000006</v>
      </c>
      <c r="N203">
        <v>86.39</v>
      </c>
      <c r="O203">
        <v>455</v>
      </c>
      <c r="P203">
        <v>4.7699999999999996</v>
      </c>
    </row>
    <row r="204" spans="1:16" x14ac:dyDescent="0.25">
      <c r="A204" t="s">
        <v>43</v>
      </c>
      <c r="B204" t="s">
        <v>30</v>
      </c>
      <c r="C204" t="s">
        <v>35</v>
      </c>
      <c r="D204">
        <v>457</v>
      </c>
      <c r="E204">
        <v>289.27999999999997</v>
      </c>
      <c r="F204">
        <v>190</v>
      </c>
      <c r="G204">
        <v>374.68</v>
      </c>
      <c r="H204">
        <v>19.27</v>
      </c>
      <c r="I204" t="s">
        <v>29</v>
      </c>
      <c r="J204">
        <v>496</v>
      </c>
      <c r="K204">
        <v>30.35</v>
      </c>
      <c r="L204">
        <v>33</v>
      </c>
      <c r="M204">
        <v>60.15</v>
      </c>
      <c r="N204">
        <v>87.73</v>
      </c>
      <c r="O204">
        <v>213</v>
      </c>
      <c r="P204">
        <v>4.84</v>
      </c>
    </row>
    <row r="205" spans="1:16" x14ac:dyDescent="0.25">
      <c r="A205" t="s">
        <v>43</v>
      </c>
      <c r="B205" t="s">
        <v>17</v>
      </c>
      <c r="C205" t="s">
        <v>22</v>
      </c>
      <c r="D205">
        <v>1132</v>
      </c>
      <c r="E205">
        <v>1519.34</v>
      </c>
      <c r="F205">
        <v>234</v>
      </c>
      <c r="G205">
        <v>423.82</v>
      </c>
      <c r="H205">
        <v>12.9</v>
      </c>
      <c r="I205" t="s">
        <v>31</v>
      </c>
      <c r="J205">
        <v>29</v>
      </c>
      <c r="K205">
        <v>9.4700000000000006</v>
      </c>
      <c r="L205">
        <v>273</v>
      </c>
      <c r="M205">
        <v>50.76</v>
      </c>
      <c r="N205">
        <v>90.38</v>
      </c>
      <c r="O205">
        <v>399</v>
      </c>
      <c r="P205">
        <v>2.84</v>
      </c>
    </row>
    <row r="206" spans="1:16" x14ac:dyDescent="0.25">
      <c r="A206" t="s">
        <v>26</v>
      </c>
      <c r="B206" t="s">
        <v>17</v>
      </c>
      <c r="C206" t="s">
        <v>35</v>
      </c>
      <c r="D206">
        <v>1548</v>
      </c>
      <c r="E206">
        <v>1748.56</v>
      </c>
      <c r="F206">
        <v>12</v>
      </c>
      <c r="G206">
        <v>395.83</v>
      </c>
      <c r="H206">
        <v>5.59</v>
      </c>
      <c r="I206" t="s">
        <v>25</v>
      </c>
      <c r="J206">
        <v>793</v>
      </c>
      <c r="K206">
        <v>16.04</v>
      </c>
      <c r="L206">
        <v>425</v>
      </c>
      <c r="M206">
        <v>97.39</v>
      </c>
      <c r="N206">
        <v>82.8</v>
      </c>
      <c r="O206">
        <v>252</v>
      </c>
      <c r="P206">
        <v>3.44</v>
      </c>
    </row>
    <row r="207" spans="1:16" x14ac:dyDescent="0.25">
      <c r="A207" t="s">
        <v>20</v>
      </c>
      <c r="B207" t="s">
        <v>33</v>
      </c>
      <c r="C207" t="s">
        <v>45</v>
      </c>
      <c r="D207">
        <v>806</v>
      </c>
      <c r="E207">
        <v>499.62</v>
      </c>
      <c r="F207">
        <v>135</v>
      </c>
      <c r="G207">
        <v>237.42</v>
      </c>
      <c r="H207">
        <v>22.69</v>
      </c>
      <c r="I207" t="s">
        <v>25</v>
      </c>
      <c r="J207">
        <v>122</v>
      </c>
      <c r="K207">
        <v>34.119999999999997</v>
      </c>
      <c r="L207">
        <v>334</v>
      </c>
      <c r="M207">
        <v>69.41</v>
      </c>
      <c r="N207">
        <v>84.61</v>
      </c>
      <c r="O207">
        <v>316</v>
      </c>
      <c r="P207">
        <v>8.3699999999999992</v>
      </c>
    </row>
    <row r="208" spans="1:16" x14ac:dyDescent="0.25">
      <c r="A208" t="s">
        <v>42</v>
      </c>
      <c r="B208" t="s">
        <v>30</v>
      </c>
      <c r="C208" t="s">
        <v>34</v>
      </c>
      <c r="D208">
        <v>1780</v>
      </c>
      <c r="E208">
        <v>2907.51</v>
      </c>
      <c r="F208">
        <v>349</v>
      </c>
      <c r="G208">
        <v>400.23</v>
      </c>
      <c r="H208">
        <v>10.54</v>
      </c>
      <c r="I208" t="s">
        <v>31</v>
      </c>
      <c r="J208">
        <v>765</v>
      </c>
      <c r="K208">
        <v>44.58</v>
      </c>
      <c r="L208">
        <v>439</v>
      </c>
      <c r="M208">
        <v>94.27</v>
      </c>
      <c r="N208">
        <v>91.37</v>
      </c>
      <c r="O208">
        <v>170</v>
      </c>
      <c r="P208">
        <v>7.76</v>
      </c>
    </row>
    <row r="209" spans="1:16" x14ac:dyDescent="0.25">
      <c r="A209" t="s">
        <v>43</v>
      </c>
      <c r="B209" t="s">
        <v>33</v>
      </c>
      <c r="C209" t="s">
        <v>40</v>
      </c>
      <c r="D209">
        <v>240</v>
      </c>
      <c r="E209">
        <v>454.82</v>
      </c>
      <c r="F209">
        <v>15</v>
      </c>
      <c r="G209">
        <v>365.54</v>
      </c>
      <c r="H209">
        <v>11.69</v>
      </c>
      <c r="I209" t="s">
        <v>29</v>
      </c>
      <c r="J209">
        <v>520</v>
      </c>
      <c r="K209">
        <v>26.6</v>
      </c>
      <c r="L209">
        <v>374</v>
      </c>
      <c r="M209">
        <v>95.56</v>
      </c>
      <c r="N209">
        <v>97.55</v>
      </c>
      <c r="O209">
        <v>359</v>
      </c>
      <c r="P209">
        <v>6.12</v>
      </c>
    </row>
    <row r="210" spans="1:16" x14ac:dyDescent="0.25">
      <c r="A210" t="s">
        <v>38</v>
      </c>
      <c r="B210" t="s">
        <v>21</v>
      </c>
      <c r="C210" t="s">
        <v>34</v>
      </c>
      <c r="D210">
        <v>1640</v>
      </c>
      <c r="E210">
        <v>1835.59</v>
      </c>
      <c r="F210">
        <v>367</v>
      </c>
      <c r="G210">
        <v>133.9</v>
      </c>
      <c r="H210">
        <v>6.16</v>
      </c>
      <c r="I210" t="s">
        <v>19</v>
      </c>
      <c r="J210">
        <v>220</v>
      </c>
      <c r="K210">
        <v>23.66</v>
      </c>
      <c r="L210">
        <v>118</v>
      </c>
      <c r="M210">
        <v>79.540000000000006</v>
      </c>
      <c r="N210">
        <v>91.76</v>
      </c>
      <c r="O210">
        <v>462</v>
      </c>
      <c r="P210">
        <v>6.79</v>
      </c>
    </row>
    <row r="211" spans="1:16" x14ac:dyDescent="0.25">
      <c r="A211" t="s">
        <v>42</v>
      </c>
      <c r="B211" t="s">
        <v>17</v>
      </c>
      <c r="C211" t="s">
        <v>39</v>
      </c>
      <c r="D211">
        <v>675</v>
      </c>
      <c r="E211">
        <v>392.57</v>
      </c>
      <c r="F211">
        <v>207</v>
      </c>
      <c r="G211">
        <v>371.01</v>
      </c>
      <c r="H211">
        <v>24.59</v>
      </c>
      <c r="I211" t="s">
        <v>29</v>
      </c>
      <c r="J211">
        <v>20</v>
      </c>
      <c r="K211">
        <v>26.76</v>
      </c>
      <c r="L211">
        <v>165</v>
      </c>
      <c r="M211">
        <v>90.22</v>
      </c>
      <c r="N211">
        <v>89.05</v>
      </c>
      <c r="O211">
        <v>468</v>
      </c>
      <c r="P211">
        <v>9.2899999999999991</v>
      </c>
    </row>
    <row r="212" spans="1:16" x14ac:dyDescent="0.25">
      <c r="A212" t="s">
        <v>20</v>
      </c>
      <c r="B212" t="s">
        <v>33</v>
      </c>
      <c r="C212" t="s">
        <v>39</v>
      </c>
      <c r="D212">
        <v>1179</v>
      </c>
      <c r="E212">
        <v>1082.77</v>
      </c>
      <c r="F212">
        <v>282</v>
      </c>
      <c r="G212">
        <v>320.08999999999997</v>
      </c>
      <c r="H212">
        <v>18.100000000000001</v>
      </c>
      <c r="I212" t="s">
        <v>19</v>
      </c>
      <c r="J212">
        <v>567</v>
      </c>
      <c r="K212">
        <v>36.42</v>
      </c>
      <c r="L212">
        <v>482</v>
      </c>
      <c r="M212">
        <v>76.89</v>
      </c>
      <c r="N212">
        <v>92.61</v>
      </c>
      <c r="O212">
        <v>187</v>
      </c>
      <c r="P212">
        <v>9.2200000000000006</v>
      </c>
    </row>
    <row r="213" spans="1:16" x14ac:dyDescent="0.25">
      <c r="A213" t="s">
        <v>36</v>
      </c>
      <c r="B213" t="s">
        <v>33</v>
      </c>
      <c r="C213" t="s">
        <v>44</v>
      </c>
      <c r="D213">
        <v>760</v>
      </c>
      <c r="E213">
        <v>1082.99</v>
      </c>
      <c r="F213">
        <v>147</v>
      </c>
      <c r="G213">
        <v>482.98</v>
      </c>
      <c r="H213">
        <v>11.51</v>
      </c>
      <c r="I213" t="s">
        <v>25</v>
      </c>
      <c r="J213">
        <v>935</v>
      </c>
      <c r="K213">
        <v>1.06</v>
      </c>
      <c r="L213">
        <v>152</v>
      </c>
      <c r="M213">
        <v>84.88</v>
      </c>
      <c r="N213">
        <v>93.97</v>
      </c>
      <c r="O213">
        <v>219</v>
      </c>
      <c r="P213">
        <v>8.07</v>
      </c>
    </row>
    <row r="214" spans="1:16" x14ac:dyDescent="0.25">
      <c r="A214" t="s">
        <v>42</v>
      </c>
      <c r="B214" t="s">
        <v>17</v>
      </c>
      <c r="C214" t="s">
        <v>44</v>
      </c>
      <c r="D214">
        <v>1592</v>
      </c>
      <c r="E214">
        <v>2779.95</v>
      </c>
      <c r="F214">
        <v>74</v>
      </c>
      <c r="G214">
        <v>390.13</v>
      </c>
      <c r="H214">
        <v>10.54</v>
      </c>
      <c r="I214" t="s">
        <v>31</v>
      </c>
      <c r="J214">
        <v>418</v>
      </c>
      <c r="K214">
        <v>38.04</v>
      </c>
      <c r="L214">
        <v>453</v>
      </c>
      <c r="M214">
        <v>82.25</v>
      </c>
      <c r="N214">
        <v>83.11</v>
      </c>
      <c r="O214">
        <v>247</v>
      </c>
      <c r="P214">
        <v>1.4</v>
      </c>
    </row>
    <row r="215" spans="1:16" x14ac:dyDescent="0.25">
      <c r="A215" t="s">
        <v>20</v>
      </c>
      <c r="B215" t="s">
        <v>21</v>
      </c>
      <c r="C215" t="s">
        <v>24</v>
      </c>
      <c r="D215">
        <v>421</v>
      </c>
      <c r="E215">
        <v>560.4</v>
      </c>
      <c r="F215">
        <v>88</v>
      </c>
      <c r="G215">
        <v>75.36</v>
      </c>
      <c r="H215">
        <v>26.52</v>
      </c>
      <c r="I215" t="s">
        <v>19</v>
      </c>
      <c r="J215">
        <v>269</v>
      </c>
      <c r="K215">
        <v>9.33</v>
      </c>
      <c r="L215">
        <v>299</v>
      </c>
      <c r="M215">
        <v>84.08</v>
      </c>
      <c r="N215">
        <v>81.37</v>
      </c>
      <c r="O215">
        <v>287</v>
      </c>
      <c r="P215">
        <v>5.99</v>
      </c>
    </row>
    <row r="216" spans="1:16" x14ac:dyDescent="0.25">
      <c r="A216" t="s">
        <v>43</v>
      </c>
      <c r="B216" t="s">
        <v>33</v>
      </c>
      <c r="C216" t="s">
        <v>32</v>
      </c>
      <c r="D216">
        <v>1153</v>
      </c>
      <c r="E216">
        <v>1886.33</v>
      </c>
      <c r="F216">
        <v>56</v>
      </c>
      <c r="G216">
        <v>478.75</v>
      </c>
      <c r="H216">
        <v>12.6</v>
      </c>
      <c r="I216" t="s">
        <v>29</v>
      </c>
      <c r="J216">
        <v>899</v>
      </c>
      <c r="K216">
        <v>18.78</v>
      </c>
      <c r="L216">
        <v>20</v>
      </c>
      <c r="M216">
        <v>91.53</v>
      </c>
      <c r="N216">
        <v>88.69</v>
      </c>
      <c r="O216">
        <v>397</v>
      </c>
      <c r="P216">
        <v>1.96</v>
      </c>
    </row>
    <row r="217" spans="1:16" x14ac:dyDescent="0.25">
      <c r="A217" t="s">
        <v>41</v>
      </c>
      <c r="B217" t="s">
        <v>27</v>
      </c>
      <c r="C217" t="s">
        <v>28</v>
      </c>
      <c r="D217">
        <v>799</v>
      </c>
      <c r="E217">
        <v>421.74</v>
      </c>
      <c r="F217">
        <v>190</v>
      </c>
      <c r="G217">
        <v>383.36</v>
      </c>
      <c r="H217">
        <v>22.58</v>
      </c>
      <c r="I217" t="s">
        <v>25</v>
      </c>
      <c r="J217">
        <v>563</v>
      </c>
      <c r="K217">
        <v>49.44</v>
      </c>
      <c r="L217">
        <v>458</v>
      </c>
      <c r="M217">
        <v>82.05</v>
      </c>
      <c r="N217">
        <v>92.4</v>
      </c>
      <c r="O217">
        <v>211</v>
      </c>
      <c r="P217">
        <v>1.4</v>
      </c>
    </row>
    <row r="218" spans="1:16" x14ac:dyDescent="0.25">
      <c r="A218" t="s">
        <v>38</v>
      </c>
      <c r="B218" t="s">
        <v>23</v>
      </c>
      <c r="C218" t="s">
        <v>34</v>
      </c>
      <c r="D218">
        <v>1330</v>
      </c>
      <c r="E218">
        <v>1379.49</v>
      </c>
      <c r="F218">
        <v>199</v>
      </c>
      <c r="G218">
        <v>381.63</v>
      </c>
      <c r="H218">
        <v>23.68</v>
      </c>
      <c r="I218" t="s">
        <v>25</v>
      </c>
      <c r="J218">
        <v>979</v>
      </c>
      <c r="K218">
        <v>6.55</v>
      </c>
      <c r="L218">
        <v>52</v>
      </c>
      <c r="M218">
        <v>54.37</v>
      </c>
      <c r="N218">
        <v>93.48</v>
      </c>
      <c r="O218">
        <v>135</v>
      </c>
      <c r="P218">
        <v>8.9600000000000009</v>
      </c>
    </row>
    <row r="219" spans="1:16" x14ac:dyDescent="0.25">
      <c r="A219" t="s">
        <v>26</v>
      </c>
      <c r="B219" t="s">
        <v>17</v>
      </c>
      <c r="C219" t="s">
        <v>44</v>
      </c>
      <c r="D219">
        <v>1597</v>
      </c>
      <c r="E219">
        <v>1032.76</v>
      </c>
      <c r="F219">
        <v>204</v>
      </c>
      <c r="G219">
        <v>294.31</v>
      </c>
      <c r="H219">
        <v>26.62</v>
      </c>
      <c r="I219" t="s">
        <v>29</v>
      </c>
      <c r="J219">
        <v>63</v>
      </c>
      <c r="K219">
        <v>27.95</v>
      </c>
      <c r="L219">
        <v>254</v>
      </c>
      <c r="M219">
        <v>87.36</v>
      </c>
      <c r="N219">
        <v>94.23</v>
      </c>
      <c r="O219">
        <v>145</v>
      </c>
      <c r="P219">
        <v>9.85</v>
      </c>
    </row>
    <row r="220" spans="1:16" x14ac:dyDescent="0.25">
      <c r="A220" t="s">
        <v>26</v>
      </c>
      <c r="B220" t="s">
        <v>27</v>
      </c>
      <c r="C220" t="s">
        <v>32</v>
      </c>
      <c r="D220">
        <v>1723</v>
      </c>
      <c r="E220">
        <v>1945.03</v>
      </c>
      <c r="F220">
        <v>458</v>
      </c>
      <c r="G220">
        <v>20.37</v>
      </c>
      <c r="H220">
        <v>23.85</v>
      </c>
      <c r="I220" t="s">
        <v>31</v>
      </c>
      <c r="J220">
        <v>896</v>
      </c>
      <c r="K220">
        <v>15.11</v>
      </c>
      <c r="L220">
        <v>406</v>
      </c>
      <c r="M220">
        <v>96.5</v>
      </c>
      <c r="N220">
        <v>92.16</v>
      </c>
      <c r="O220">
        <v>129</v>
      </c>
      <c r="P220">
        <v>9.0299999999999994</v>
      </c>
    </row>
    <row r="221" spans="1:16" x14ac:dyDescent="0.25">
      <c r="A221" t="s">
        <v>38</v>
      </c>
      <c r="B221" t="s">
        <v>30</v>
      </c>
      <c r="C221" t="s">
        <v>32</v>
      </c>
      <c r="D221">
        <v>799</v>
      </c>
      <c r="E221">
        <v>932.49</v>
      </c>
      <c r="F221">
        <v>372</v>
      </c>
      <c r="G221">
        <v>224.18</v>
      </c>
      <c r="H221">
        <v>9.41</v>
      </c>
      <c r="I221" t="s">
        <v>25</v>
      </c>
      <c r="J221">
        <v>514</v>
      </c>
      <c r="K221">
        <v>24.03</v>
      </c>
      <c r="L221">
        <v>33</v>
      </c>
      <c r="M221">
        <v>76.180000000000007</v>
      </c>
      <c r="N221">
        <v>82.38</v>
      </c>
      <c r="O221">
        <v>435</v>
      </c>
      <c r="P221">
        <v>6.99</v>
      </c>
    </row>
    <row r="222" spans="1:16" x14ac:dyDescent="0.25">
      <c r="A222" t="s">
        <v>41</v>
      </c>
      <c r="B222" t="s">
        <v>17</v>
      </c>
      <c r="C222" t="s">
        <v>18</v>
      </c>
      <c r="D222">
        <v>473</v>
      </c>
      <c r="E222">
        <v>458.86</v>
      </c>
      <c r="F222">
        <v>442</v>
      </c>
      <c r="G222">
        <v>329.72</v>
      </c>
      <c r="H222">
        <v>24.4</v>
      </c>
      <c r="I222" t="s">
        <v>29</v>
      </c>
      <c r="J222">
        <v>634</v>
      </c>
      <c r="K222">
        <v>18.93</v>
      </c>
      <c r="L222">
        <v>37</v>
      </c>
      <c r="M222">
        <v>59.08</v>
      </c>
      <c r="N222">
        <v>89.37</v>
      </c>
      <c r="O222">
        <v>110</v>
      </c>
      <c r="P222">
        <v>3.36</v>
      </c>
    </row>
    <row r="223" spans="1:16" x14ac:dyDescent="0.25">
      <c r="A223" t="s">
        <v>41</v>
      </c>
      <c r="B223" t="s">
        <v>30</v>
      </c>
      <c r="C223" t="s">
        <v>18</v>
      </c>
      <c r="D223">
        <v>1632</v>
      </c>
      <c r="E223">
        <v>1090.9000000000001</v>
      </c>
      <c r="F223">
        <v>444</v>
      </c>
      <c r="G223">
        <v>31.91</v>
      </c>
      <c r="H223">
        <v>10.23</v>
      </c>
      <c r="I223" t="s">
        <v>19</v>
      </c>
      <c r="J223">
        <v>179</v>
      </c>
      <c r="K223">
        <v>39.94</v>
      </c>
      <c r="L223">
        <v>123</v>
      </c>
      <c r="M223">
        <v>60.37</v>
      </c>
      <c r="N223">
        <v>91.44</v>
      </c>
      <c r="O223">
        <v>109</v>
      </c>
      <c r="P223">
        <v>9.4</v>
      </c>
    </row>
    <row r="224" spans="1:16" x14ac:dyDescent="0.25">
      <c r="A224" t="s">
        <v>16</v>
      </c>
      <c r="B224" t="s">
        <v>27</v>
      </c>
      <c r="C224" t="s">
        <v>28</v>
      </c>
      <c r="D224">
        <v>967</v>
      </c>
      <c r="E224">
        <v>577.74</v>
      </c>
      <c r="F224">
        <v>273</v>
      </c>
      <c r="G224">
        <v>27.64</v>
      </c>
      <c r="H224">
        <v>5.29</v>
      </c>
      <c r="I224" t="s">
        <v>19</v>
      </c>
      <c r="J224">
        <v>67</v>
      </c>
      <c r="K224">
        <v>10.91</v>
      </c>
      <c r="L224">
        <v>260</v>
      </c>
      <c r="M224">
        <v>81.41</v>
      </c>
      <c r="N224">
        <v>86.69</v>
      </c>
      <c r="O224">
        <v>266</v>
      </c>
      <c r="P224">
        <v>7.53</v>
      </c>
    </row>
    <row r="225" spans="1:16" x14ac:dyDescent="0.25">
      <c r="A225" t="s">
        <v>16</v>
      </c>
      <c r="B225" t="s">
        <v>23</v>
      </c>
      <c r="C225" t="s">
        <v>28</v>
      </c>
      <c r="D225">
        <v>1489</v>
      </c>
      <c r="E225">
        <v>1252.55</v>
      </c>
      <c r="F225">
        <v>366</v>
      </c>
      <c r="G225">
        <v>25.3</v>
      </c>
      <c r="H225">
        <v>17.13</v>
      </c>
      <c r="I225" t="s">
        <v>31</v>
      </c>
      <c r="J225">
        <v>824</v>
      </c>
      <c r="K225">
        <v>23.03</v>
      </c>
      <c r="L225">
        <v>174</v>
      </c>
      <c r="M225">
        <v>52.92</v>
      </c>
      <c r="N225">
        <v>83.01</v>
      </c>
      <c r="O225">
        <v>251</v>
      </c>
      <c r="P225">
        <v>2.1</v>
      </c>
    </row>
    <row r="226" spans="1:16" x14ac:dyDescent="0.25">
      <c r="A226" t="s">
        <v>36</v>
      </c>
      <c r="B226" t="s">
        <v>21</v>
      </c>
      <c r="C226" t="s">
        <v>35</v>
      </c>
      <c r="D226">
        <v>1913</v>
      </c>
      <c r="E226">
        <v>1994.76</v>
      </c>
      <c r="F226">
        <v>224</v>
      </c>
      <c r="G226">
        <v>440.06</v>
      </c>
      <c r="H226">
        <v>15.42</v>
      </c>
      <c r="I226" t="s">
        <v>25</v>
      </c>
      <c r="J226">
        <v>174</v>
      </c>
      <c r="K226">
        <v>13.31</v>
      </c>
      <c r="L226">
        <v>83</v>
      </c>
      <c r="M226">
        <v>66.05</v>
      </c>
      <c r="N226">
        <v>80</v>
      </c>
      <c r="O226">
        <v>149</v>
      </c>
      <c r="P226">
        <v>9.2899999999999991</v>
      </c>
    </row>
    <row r="227" spans="1:16" x14ac:dyDescent="0.25">
      <c r="A227" t="s">
        <v>42</v>
      </c>
      <c r="B227" t="s">
        <v>30</v>
      </c>
      <c r="C227" t="s">
        <v>22</v>
      </c>
      <c r="D227">
        <v>845</v>
      </c>
      <c r="E227">
        <v>863.07</v>
      </c>
      <c r="F227">
        <v>227</v>
      </c>
      <c r="G227">
        <v>54.56</v>
      </c>
      <c r="H227">
        <v>8.8800000000000008</v>
      </c>
      <c r="I227" t="s">
        <v>25</v>
      </c>
      <c r="J227">
        <v>951</v>
      </c>
      <c r="K227">
        <v>19.64</v>
      </c>
      <c r="L227">
        <v>56</v>
      </c>
      <c r="M227">
        <v>97.5</v>
      </c>
      <c r="N227">
        <v>83.48</v>
      </c>
      <c r="O227">
        <v>260</v>
      </c>
      <c r="P227">
        <v>5.05</v>
      </c>
    </row>
    <row r="228" spans="1:16" x14ac:dyDescent="0.25">
      <c r="A228" t="s">
        <v>36</v>
      </c>
      <c r="B228" t="s">
        <v>27</v>
      </c>
      <c r="C228" t="s">
        <v>22</v>
      </c>
      <c r="D228">
        <v>1259</v>
      </c>
      <c r="E228">
        <v>1117.56</v>
      </c>
      <c r="F228">
        <v>243</v>
      </c>
      <c r="G228">
        <v>310.48</v>
      </c>
      <c r="H228">
        <v>23.6</v>
      </c>
      <c r="I228" t="s">
        <v>25</v>
      </c>
      <c r="J228">
        <v>487</v>
      </c>
      <c r="K228">
        <v>24.95</v>
      </c>
      <c r="L228">
        <v>324</v>
      </c>
      <c r="M228">
        <v>63.44</v>
      </c>
      <c r="N228">
        <v>98.45</v>
      </c>
      <c r="O228">
        <v>500</v>
      </c>
      <c r="P228">
        <v>8.75</v>
      </c>
    </row>
    <row r="229" spans="1:16" x14ac:dyDescent="0.25">
      <c r="A229" t="s">
        <v>26</v>
      </c>
      <c r="B229" t="s">
        <v>17</v>
      </c>
      <c r="C229" t="s">
        <v>45</v>
      </c>
      <c r="D229">
        <v>1820</v>
      </c>
      <c r="E229">
        <v>3196.97</v>
      </c>
      <c r="F229">
        <v>129</v>
      </c>
      <c r="G229">
        <v>32.9</v>
      </c>
      <c r="H229">
        <v>9.0500000000000007</v>
      </c>
      <c r="I229" t="s">
        <v>31</v>
      </c>
      <c r="J229">
        <v>947</v>
      </c>
      <c r="K229">
        <v>25.4</v>
      </c>
      <c r="L229">
        <v>392</v>
      </c>
      <c r="M229">
        <v>88.5</v>
      </c>
      <c r="N229">
        <v>95.72</v>
      </c>
      <c r="O229">
        <v>62</v>
      </c>
      <c r="P229">
        <v>8.08</v>
      </c>
    </row>
    <row r="230" spans="1:16" x14ac:dyDescent="0.25">
      <c r="A230" t="s">
        <v>38</v>
      </c>
      <c r="B230" t="s">
        <v>23</v>
      </c>
      <c r="C230" t="s">
        <v>45</v>
      </c>
      <c r="D230">
        <v>612</v>
      </c>
      <c r="E230">
        <v>783.79</v>
      </c>
      <c r="F230">
        <v>101</v>
      </c>
      <c r="G230">
        <v>226.43</v>
      </c>
      <c r="H230">
        <v>10.76</v>
      </c>
      <c r="I230" t="s">
        <v>25</v>
      </c>
      <c r="J230">
        <v>910</v>
      </c>
      <c r="K230">
        <v>33.340000000000003</v>
      </c>
      <c r="L230">
        <v>163</v>
      </c>
      <c r="M230">
        <v>69.040000000000006</v>
      </c>
      <c r="N230">
        <v>87.05</v>
      </c>
      <c r="O230">
        <v>297</v>
      </c>
      <c r="P230">
        <v>4.57</v>
      </c>
    </row>
    <row r="231" spans="1:16" x14ac:dyDescent="0.25">
      <c r="A231" t="s">
        <v>36</v>
      </c>
      <c r="B231" t="s">
        <v>33</v>
      </c>
      <c r="C231" t="s">
        <v>32</v>
      </c>
      <c r="D231">
        <v>1967</v>
      </c>
      <c r="E231">
        <v>1886.45</v>
      </c>
      <c r="F231">
        <v>369</v>
      </c>
      <c r="G231">
        <v>380.99</v>
      </c>
      <c r="H231">
        <v>7</v>
      </c>
      <c r="I231" t="s">
        <v>19</v>
      </c>
      <c r="J231">
        <v>230</v>
      </c>
      <c r="K231">
        <v>7.14</v>
      </c>
      <c r="L231">
        <v>317</v>
      </c>
      <c r="M231">
        <v>63.24</v>
      </c>
      <c r="N231">
        <v>96.64</v>
      </c>
      <c r="O231">
        <v>333</v>
      </c>
      <c r="P231">
        <v>5.44</v>
      </c>
    </row>
    <row r="232" spans="1:16" x14ac:dyDescent="0.25">
      <c r="A232" t="s">
        <v>16</v>
      </c>
      <c r="B232" t="s">
        <v>21</v>
      </c>
      <c r="C232" t="s">
        <v>18</v>
      </c>
      <c r="D232">
        <v>1249</v>
      </c>
      <c r="E232">
        <v>2491.7600000000002</v>
      </c>
      <c r="F232">
        <v>367</v>
      </c>
      <c r="G232">
        <v>446.61</v>
      </c>
      <c r="H232">
        <v>18.809999999999999</v>
      </c>
      <c r="I232" t="s">
        <v>19</v>
      </c>
      <c r="J232">
        <v>948</v>
      </c>
      <c r="K232">
        <v>41.54</v>
      </c>
      <c r="L232">
        <v>312</v>
      </c>
      <c r="M232">
        <v>96.64</v>
      </c>
      <c r="N232">
        <v>93.5</v>
      </c>
      <c r="O232">
        <v>333</v>
      </c>
      <c r="P232">
        <v>6.74</v>
      </c>
    </row>
    <row r="233" spans="1:16" x14ac:dyDescent="0.25">
      <c r="A233" t="s">
        <v>26</v>
      </c>
      <c r="B233" t="s">
        <v>17</v>
      </c>
      <c r="C233" t="s">
        <v>35</v>
      </c>
      <c r="D233">
        <v>450</v>
      </c>
      <c r="E233">
        <v>445.76</v>
      </c>
      <c r="F233">
        <v>373</v>
      </c>
      <c r="G233">
        <v>123.59</v>
      </c>
      <c r="H233">
        <v>26.75</v>
      </c>
      <c r="I233" t="s">
        <v>31</v>
      </c>
      <c r="J233">
        <v>939</v>
      </c>
      <c r="K233">
        <v>36.08</v>
      </c>
      <c r="L233">
        <v>410</v>
      </c>
      <c r="M233">
        <v>65.760000000000005</v>
      </c>
      <c r="N233">
        <v>97.94</v>
      </c>
      <c r="O233">
        <v>425</v>
      </c>
      <c r="P233">
        <v>4.67</v>
      </c>
    </row>
    <row r="234" spans="1:16" x14ac:dyDescent="0.25">
      <c r="A234" t="s">
        <v>42</v>
      </c>
      <c r="B234" t="s">
        <v>30</v>
      </c>
      <c r="C234" t="s">
        <v>34</v>
      </c>
      <c r="D234">
        <v>973</v>
      </c>
      <c r="E234">
        <v>1487.31</v>
      </c>
      <c r="F234">
        <v>488</v>
      </c>
      <c r="G234">
        <v>386.28</v>
      </c>
      <c r="H234">
        <v>25.39</v>
      </c>
      <c r="I234" t="s">
        <v>31</v>
      </c>
      <c r="J234">
        <v>799</v>
      </c>
      <c r="K234">
        <v>15.99</v>
      </c>
      <c r="L234">
        <v>201</v>
      </c>
      <c r="M234">
        <v>76.39</v>
      </c>
      <c r="N234">
        <v>90.65</v>
      </c>
      <c r="O234">
        <v>211</v>
      </c>
      <c r="P234">
        <v>7.68</v>
      </c>
    </row>
    <row r="235" spans="1:16" x14ac:dyDescent="0.25">
      <c r="A235" t="s">
        <v>42</v>
      </c>
      <c r="B235" t="s">
        <v>17</v>
      </c>
      <c r="C235" t="s">
        <v>28</v>
      </c>
      <c r="D235">
        <v>486</v>
      </c>
      <c r="E235">
        <v>492.48</v>
      </c>
      <c r="F235">
        <v>203</v>
      </c>
      <c r="G235">
        <v>249.19</v>
      </c>
      <c r="H235">
        <v>6.25</v>
      </c>
      <c r="I235" t="s">
        <v>31</v>
      </c>
      <c r="J235">
        <v>91</v>
      </c>
      <c r="K235">
        <v>35.75</v>
      </c>
      <c r="L235">
        <v>97</v>
      </c>
      <c r="M235">
        <v>96.25</v>
      </c>
      <c r="N235">
        <v>86.09</v>
      </c>
      <c r="O235">
        <v>258</v>
      </c>
      <c r="P235">
        <v>2.85</v>
      </c>
    </row>
    <row r="236" spans="1:16" x14ac:dyDescent="0.25">
      <c r="A236" t="s">
        <v>41</v>
      </c>
      <c r="B236" t="s">
        <v>33</v>
      </c>
      <c r="C236" t="s">
        <v>18</v>
      </c>
      <c r="D236">
        <v>1801</v>
      </c>
      <c r="E236">
        <v>2560.63</v>
      </c>
      <c r="F236">
        <v>110</v>
      </c>
      <c r="G236">
        <v>344.6</v>
      </c>
      <c r="H236">
        <v>9.27</v>
      </c>
      <c r="I236" t="s">
        <v>19</v>
      </c>
      <c r="J236">
        <v>538</v>
      </c>
      <c r="K236">
        <v>45.31</v>
      </c>
      <c r="L236">
        <v>391</v>
      </c>
      <c r="M236">
        <v>70.64</v>
      </c>
      <c r="N236">
        <v>89.51</v>
      </c>
      <c r="O236">
        <v>146</v>
      </c>
      <c r="P236">
        <v>2.68</v>
      </c>
    </row>
    <row r="237" spans="1:16" x14ac:dyDescent="0.25">
      <c r="A237" t="s">
        <v>42</v>
      </c>
      <c r="B237" t="s">
        <v>33</v>
      </c>
      <c r="C237" t="s">
        <v>34</v>
      </c>
      <c r="D237">
        <v>149</v>
      </c>
      <c r="E237">
        <v>233.57</v>
      </c>
      <c r="F237">
        <v>312</v>
      </c>
      <c r="G237">
        <v>286.72000000000003</v>
      </c>
      <c r="H237">
        <v>16.77</v>
      </c>
      <c r="I237" t="s">
        <v>25</v>
      </c>
      <c r="J237">
        <v>692</v>
      </c>
      <c r="K237">
        <v>25.11</v>
      </c>
      <c r="L237">
        <v>161</v>
      </c>
      <c r="M237">
        <v>85.69</v>
      </c>
      <c r="N237">
        <v>80.34</v>
      </c>
      <c r="O237">
        <v>142</v>
      </c>
      <c r="P237">
        <v>4.22</v>
      </c>
    </row>
    <row r="238" spans="1:16" x14ac:dyDescent="0.25">
      <c r="A238" t="s">
        <v>43</v>
      </c>
      <c r="B238" t="s">
        <v>27</v>
      </c>
      <c r="C238" t="s">
        <v>39</v>
      </c>
      <c r="D238">
        <v>1444</v>
      </c>
      <c r="E238">
        <v>900.29</v>
      </c>
      <c r="F238">
        <v>372</v>
      </c>
      <c r="G238">
        <v>491.77</v>
      </c>
      <c r="H238">
        <v>22.27</v>
      </c>
      <c r="I238" t="s">
        <v>25</v>
      </c>
      <c r="J238">
        <v>25</v>
      </c>
      <c r="K238">
        <v>16.79</v>
      </c>
      <c r="L238">
        <v>446</v>
      </c>
      <c r="M238">
        <v>78.31</v>
      </c>
      <c r="N238">
        <v>94.24</v>
      </c>
      <c r="O238">
        <v>127</v>
      </c>
      <c r="P238">
        <v>4</v>
      </c>
    </row>
    <row r="239" spans="1:16" x14ac:dyDescent="0.25">
      <c r="A239" t="s">
        <v>38</v>
      </c>
      <c r="B239" t="s">
        <v>17</v>
      </c>
      <c r="C239" t="s">
        <v>35</v>
      </c>
      <c r="D239">
        <v>691</v>
      </c>
      <c r="E239">
        <v>1222.02</v>
      </c>
      <c r="F239">
        <v>178</v>
      </c>
      <c r="G239">
        <v>156.24</v>
      </c>
      <c r="H239">
        <v>13.72</v>
      </c>
      <c r="I239" t="s">
        <v>19</v>
      </c>
      <c r="J239">
        <v>864</v>
      </c>
      <c r="K239">
        <v>37.799999999999997</v>
      </c>
      <c r="L239">
        <v>61</v>
      </c>
      <c r="M239">
        <v>95.09</v>
      </c>
      <c r="N239">
        <v>88.82</v>
      </c>
      <c r="O239">
        <v>426</v>
      </c>
      <c r="P239">
        <v>7.1</v>
      </c>
    </row>
    <row r="240" spans="1:16" x14ac:dyDescent="0.25">
      <c r="A240" t="s">
        <v>20</v>
      </c>
      <c r="B240" t="s">
        <v>17</v>
      </c>
      <c r="C240" t="s">
        <v>32</v>
      </c>
      <c r="D240">
        <v>585</v>
      </c>
      <c r="E240">
        <v>990.76</v>
      </c>
      <c r="F240">
        <v>57</v>
      </c>
      <c r="G240">
        <v>10.55</v>
      </c>
      <c r="H240">
        <v>21.51</v>
      </c>
      <c r="I240" t="s">
        <v>25</v>
      </c>
      <c r="J240">
        <v>484</v>
      </c>
      <c r="K240">
        <v>41.38</v>
      </c>
      <c r="L240">
        <v>282</v>
      </c>
      <c r="M240">
        <v>70.97</v>
      </c>
      <c r="N240">
        <v>89.78</v>
      </c>
      <c r="O240">
        <v>295</v>
      </c>
      <c r="P240">
        <v>1.69</v>
      </c>
    </row>
    <row r="241" spans="1:16" x14ac:dyDescent="0.25">
      <c r="A241" t="s">
        <v>38</v>
      </c>
      <c r="B241" t="s">
        <v>21</v>
      </c>
      <c r="C241" t="s">
        <v>37</v>
      </c>
      <c r="D241">
        <v>120</v>
      </c>
      <c r="E241">
        <v>176.97</v>
      </c>
      <c r="F241">
        <v>256</v>
      </c>
      <c r="G241">
        <v>121.16</v>
      </c>
      <c r="H241">
        <v>26.94</v>
      </c>
      <c r="I241" t="s">
        <v>25</v>
      </c>
      <c r="J241">
        <v>609</v>
      </c>
      <c r="K241">
        <v>24.64</v>
      </c>
      <c r="L241">
        <v>232</v>
      </c>
      <c r="M241">
        <v>51.61</v>
      </c>
      <c r="N241">
        <v>93.02</v>
      </c>
      <c r="O241">
        <v>444</v>
      </c>
      <c r="P241">
        <v>7.12</v>
      </c>
    </row>
    <row r="242" spans="1:16" x14ac:dyDescent="0.25">
      <c r="A242" t="s">
        <v>36</v>
      </c>
      <c r="B242" t="s">
        <v>27</v>
      </c>
      <c r="C242" t="s">
        <v>32</v>
      </c>
      <c r="D242">
        <v>410</v>
      </c>
      <c r="E242">
        <v>588.33000000000004</v>
      </c>
      <c r="F242">
        <v>410</v>
      </c>
      <c r="G242">
        <v>478</v>
      </c>
      <c r="H242">
        <v>6.27</v>
      </c>
      <c r="I242" t="s">
        <v>19</v>
      </c>
      <c r="J242">
        <v>234</v>
      </c>
      <c r="K242">
        <v>35.049999999999997</v>
      </c>
      <c r="L242">
        <v>87</v>
      </c>
      <c r="M242">
        <v>59.7</v>
      </c>
      <c r="N242">
        <v>89.32</v>
      </c>
      <c r="O242">
        <v>281</v>
      </c>
      <c r="P242">
        <v>2.5299999999999998</v>
      </c>
    </row>
    <row r="243" spans="1:16" x14ac:dyDescent="0.25">
      <c r="A243" t="s">
        <v>36</v>
      </c>
      <c r="B243" t="s">
        <v>33</v>
      </c>
      <c r="C243" t="s">
        <v>39</v>
      </c>
      <c r="D243">
        <v>1627</v>
      </c>
      <c r="E243">
        <v>1871.74</v>
      </c>
      <c r="F243">
        <v>433</v>
      </c>
      <c r="G243">
        <v>470.86</v>
      </c>
      <c r="H243">
        <v>5.2</v>
      </c>
      <c r="I243" t="s">
        <v>25</v>
      </c>
      <c r="J243">
        <v>276</v>
      </c>
      <c r="K243">
        <v>41.88</v>
      </c>
      <c r="L243">
        <v>63</v>
      </c>
      <c r="M243">
        <v>52.4</v>
      </c>
      <c r="N243">
        <v>98.8</v>
      </c>
      <c r="O243">
        <v>285</v>
      </c>
      <c r="P243">
        <v>4.7699999999999996</v>
      </c>
    </row>
    <row r="244" spans="1:16" x14ac:dyDescent="0.25">
      <c r="A244" t="s">
        <v>41</v>
      </c>
      <c r="B244" t="s">
        <v>23</v>
      </c>
      <c r="C244" t="s">
        <v>18</v>
      </c>
      <c r="D244">
        <v>387</v>
      </c>
      <c r="E244">
        <v>420.74</v>
      </c>
      <c r="F244">
        <v>410</v>
      </c>
      <c r="G244">
        <v>20.63</v>
      </c>
      <c r="H244">
        <v>19.309999999999999</v>
      </c>
      <c r="I244" t="s">
        <v>31</v>
      </c>
      <c r="J244">
        <v>816</v>
      </c>
      <c r="K244">
        <v>12.92</v>
      </c>
      <c r="L244">
        <v>326</v>
      </c>
      <c r="M244">
        <v>59.65</v>
      </c>
      <c r="N244">
        <v>98.94</v>
      </c>
      <c r="O244">
        <v>476</v>
      </c>
      <c r="P244">
        <v>2.75</v>
      </c>
    </row>
    <row r="245" spans="1:16" x14ac:dyDescent="0.25">
      <c r="A245" t="s">
        <v>38</v>
      </c>
      <c r="B245" t="s">
        <v>27</v>
      </c>
      <c r="C245" t="s">
        <v>24</v>
      </c>
      <c r="D245">
        <v>1485</v>
      </c>
      <c r="E245">
        <v>1245.1500000000001</v>
      </c>
      <c r="F245">
        <v>199</v>
      </c>
      <c r="G245">
        <v>221.73</v>
      </c>
      <c r="H245">
        <v>5.67</v>
      </c>
      <c r="I245" t="s">
        <v>25</v>
      </c>
      <c r="J245">
        <v>414</v>
      </c>
      <c r="K245">
        <v>13.37</v>
      </c>
      <c r="L245">
        <v>161</v>
      </c>
      <c r="M245">
        <v>62.77</v>
      </c>
      <c r="N245">
        <v>89.18</v>
      </c>
      <c r="O245">
        <v>341</v>
      </c>
      <c r="P245">
        <v>8.41</v>
      </c>
    </row>
    <row r="246" spans="1:16" x14ac:dyDescent="0.25">
      <c r="A246" t="s">
        <v>38</v>
      </c>
      <c r="B246" t="s">
        <v>33</v>
      </c>
      <c r="C246" t="s">
        <v>34</v>
      </c>
      <c r="D246">
        <v>708</v>
      </c>
      <c r="E246">
        <v>603.49</v>
      </c>
      <c r="F246">
        <v>432</v>
      </c>
      <c r="G246">
        <v>151.6</v>
      </c>
      <c r="H246">
        <v>10.27</v>
      </c>
      <c r="I246" t="s">
        <v>31</v>
      </c>
      <c r="J246">
        <v>695</v>
      </c>
      <c r="K246">
        <v>21.27</v>
      </c>
      <c r="L246">
        <v>333</v>
      </c>
      <c r="M246">
        <v>78.89</v>
      </c>
      <c r="N246">
        <v>87.71</v>
      </c>
      <c r="O246">
        <v>188</v>
      </c>
      <c r="P246">
        <v>7.5</v>
      </c>
    </row>
    <row r="247" spans="1:16" x14ac:dyDescent="0.25">
      <c r="A247" t="s">
        <v>20</v>
      </c>
      <c r="B247" t="s">
        <v>27</v>
      </c>
      <c r="C247" t="s">
        <v>35</v>
      </c>
      <c r="D247">
        <v>1301</v>
      </c>
      <c r="E247">
        <v>2251.1799999999998</v>
      </c>
      <c r="F247">
        <v>309</v>
      </c>
      <c r="G247">
        <v>162.27000000000001</v>
      </c>
      <c r="H247">
        <v>5.94</v>
      </c>
      <c r="I247" t="s">
        <v>19</v>
      </c>
      <c r="J247">
        <v>439</v>
      </c>
      <c r="K247">
        <v>17.149999999999999</v>
      </c>
      <c r="L247">
        <v>346</v>
      </c>
      <c r="M247">
        <v>92.63</v>
      </c>
      <c r="N247">
        <v>96.93</v>
      </c>
      <c r="O247">
        <v>54</v>
      </c>
      <c r="P247">
        <v>5.45</v>
      </c>
    </row>
    <row r="248" spans="1:16" x14ac:dyDescent="0.25">
      <c r="A248" t="s">
        <v>20</v>
      </c>
      <c r="B248" t="s">
        <v>21</v>
      </c>
      <c r="C248" t="s">
        <v>37</v>
      </c>
      <c r="D248">
        <v>1521</v>
      </c>
      <c r="E248">
        <v>2207.87</v>
      </c>
      <c r="F248">
        <v>164</v>
      </c>
      <c r="G248">
        <v>61</v>
      </c>
      <c r="H248">
        <v>17</v>
      </c>
      <c r="I248" t="s">
        <v>25</v>
      </c>
      <c r="J248">
        <v>780</v>
      </c>
      <c r="K248">
        <v>20.41</v>
      </c>
      <c r="L248">
        <v>189</v>
      </c>
      <c r="M248">
        <v>75.150000000000006</v>
      </c>
      <c r="N248">
        <v>91.26</v>
      </c>
      <c r="O248">
        <v>458</v>
      </c>
      <c r="P248">
        <v>3.51</v>
      </c>
    </row>
    <row r="249" spans="1:16" x14ac:dyDescent="0.25">
      <c r="A249" t="s">
        <v>16</v>
      </c>
      <c r="B249" t="s">
        <v>23</v>
      </c>
      <c r="C249" t="s">
        <v>37</v>
      </c>
      <c r="D249">
        <v>1136</v>
      </c>
      <c r="E249">
        <v>2090.36</v>
      </c>
      <c r="F249">
        <v>476</v>
      </c>
      <c r="G249">
        <v>188.26</v>
      </c>
      <c r="H249">
        <v>6.54</v>
      </c>
      <c r="I249" t="s">
        <v>19</v>
      </c>
      <c r="J249">
        <v>105</v>
      </c>
      <c r="K249">
        <v>23.9</v>
      </c>
      <c r="L249">
        <v>53</v>
      </c>
      <c r="M249">
        <v>50.19</v>
      </c>
      <c r="N249">
        <v>90.08</v>
      </c>
      <c r="O249">
        <v>331</v>
      </c>
      <c r="P249">
        <v>4.6100000000000003</v>
      </c>
    </row>
    <row r="250" spans="1:16" x14ac:dyDescent="0.25">
      <c r="A250" t="s">
        <v>20</v>
      </c>
      <c r="B250" t="s">
        <v>21</v>
      </c>
      <c r="C250" t="s">
        <v>39</v>
      </c>
      <c r="D250">
        <v>1913</v>
      </c>
      <c r="E250">
        <v>3323.42</v>
      </c>
      <c r="F250">
        <v>17</v>
      </c>
      <c r="G250">
        <v>178.98</v>
      </c>
      <c r="H250">
        <v>10.029999999999999</v>
      </c>
      <c r="I250" t="s">
        <v>19</v>
      </c>
      <c r="J250">
        <v>958</v>
      </c>
      <c r="K250">
        <v>46.75</v>
      </c>
      <c r="L250">
        <v>53</v>
      </c>
      <c r="M250">
        <v>68.87</v>
      </c>
      <c r="N250">
        <v>91.7</v>
      </c>
      <c r="O250">
        <v>181</v>
      </c>
      <c r="P250">
        <v>5.88</v>
      </c>
    </row>
    <row r="251" spans="1:16" x14ac:dyDescent="0.25">
      <c r="A251" t="s">
        <v>16</v>
      </c>
      <c r="B251" t="s">
        <v>27</v>
      </c>
      <c r="C251" t="s">
        <v>34</v>
      </c>
      <c r="D251">
        <v>641</v>
      </c>
      <c r="E251">
        <v>738.95</v>
      </c>
      <c r="F251">
        <v>100</v>
      </c>
      <c r="G251">
        <v>301.26</v>
      </c>
      <c r="H251">
        <v>7.73</v>
      </c>
      <c r="I251" t="s">
        <v>31</v>
      </c>
      <c r="J251">
        <v>651</v>
      </c>
      <c r="K251">
        <v>8.3800000000000008</v>
      </c>
      <c r="L251">
        <v>256</v>
      </c>
      <c r="M251">
        <v>61.22</v>
      </c>
      <c r="N251">
        <v>96.54</v>
      </c>
      <c r="O251">
        <v>374</v>
      </c>
      <c r="P251">
        <v>3.47</v>
      </c>
    </row>
    <row r="252" spans="1:16" x14ac:dyDescent="0.25">
      <c r="A252" t="s">
        <v>42</v>
      </c>
      <c r="B252" t="s">
        <v>27</v>
      </c>
      <c r="C252" t="s">
        <v>40</v>
      </c>
      <c r="D252">
        <v>432</v>
      </c>
      <c r="E252">
        <v>463.09</v>
      </c>
      <c r="F252">
        <v>69</v>
      </c>
      <c r="G252">
        <v>405.63</v>
      </c>
      <c r="H252">
        <v>7.03</v>
      </c>
      <c r="I252" t="s">
        <v>25</v>
      </c>
      <c r="J252">
        <v>977</v>
      </c>
      <c r="K252">
        <v>42.21</v>
      </c>
      <c r="L252">
        <v>330</v>
      </c>
      <c r="M252">
        <v>94.71</v>
      </c>
      <c r="N252">
        <v>95.05</v>
      </c>
      <c r="O252">
        <v>244</v>
      </c>
      <c r="P252">
        <v>2.82</v>
      </c>
    </row>
    <row r="253" spans="1:16" x14ac:dyDescent="0.25">
      <c r="A253" t="s">
        <v>36</v>
      </c>
      <c r="B253" t="s">
        <v>17</v>
      </c>
      <c r="C253" t="s">
        <v>40</v>
      </c>
      <c r="D253">
        <v>1897</v>
      </c>
      <c r="E253">
        <v>3493.18</v>
      </c>
      <c r="F253">
        <v>282</v>
      </c>
      <c r="G253">
        <v>463.13</v>
      </c>
      <c r="H253">
        <v>19.39</v>
      </c>
      <c r="I253" t="s">
        <v>29</v>
      </c>
      <c r="J253">
        <v>444</v>
      </c>
      <c r="K253">
        <v>7.03</v>
      </c>
      <c r="L253">
        <v>48</v>
      </c>
      <c r="M253">
        <v>52.54</v>
      </c>
      <c r="N253">
        <v>98.63</v>
      </c>
      <c r="O253">
        <v>106</v>
      </c>
      <c r="P253">
        <v>9.6199999999999992</v>
      </c>
    </row>
    <row r="254" spans="1:16" x14ac:dyDescent="0.25">
      <c r="A254" t="s">
        <v>43</v>
      </c>
      <c r="B254" t="s">
        <v>27</v>
      </c>
      <c r="C254" t="s">
        <v>24</v>
      </c>
      <c r="D254">
        <v>1772</v>
      </c>
      <c r="E254">
        <v>1723.85</v>
      </c>
      <c r="F254">
        <v>204</v>
      </c>
      <c r="G254">
        <v>427.45</v>
      </c>
      <c r="H254">
        <v>8.01</v>
      </c>
      <c r="I254" t="s">
        <v>19</v>
      </c>
      <c r="J254">
        <v>989</v>
      </c>
      <c r="K254">
        <v>39.549999999999997</v>
      </c>
      <c r="L254">
        <v>496</v>
      </c>
      <c r="M254">
        <v>63.18</v>
      </c>
      <c r="N254">
        <v>93.76</v>
      </c>
      <c r="O254">
        <v>110</v>
      </c>
      <c r="P254">
        <v>2.21</v>
      </c>
    </row>
    <row r="255" spans="1:16" x14ac:dyDescent="0.25">
      <c r="A255" t="s">
        <v>42</v>
      </c>
      <c r="B255" t="s">
        <v>21</v>
      </c>
      <c r="C255" t="s">
        <v>44</v>
      </c>
      <c r="D255">
        <v>301</v>
      </c>
      <c r="E255">
        <v>244.36</v>
      </c>
      <c r="F255">
        <v>279</v>
      </c>
      <c r="G255">
        <v>29.57</v>
      </c>
      <c r="H255">
        <v>20.84</v>
      </c>
      <c r="I255" t="s">
        <v>31</v>
      </c>
      <c r="J255">
        <v>602</v>
      </c>
      <c r="K255">
        <v>3.28</v>
      </c>
      <c r="L255">
        <v>61</v>
      </c>
      <c r="M255">
        <v>64.52</v>
      </c>
      <c r="N255">
        <v>98.94</v>
      </c>
      <c r="O255">
        <v>94</v>
      </c>
      <c r="P255">
        <v>3.04</v>
      </c>
    </row>
    <row r="256" spans="1:16" x14ac:dyDescent="0.25">
      <c r="A256" t="s">
        <v>20</v>
      </c>
      <c r="B256" t="s">
        <v>33</v>
      </c>
      <c r="C256" t="s">
        <v>34</v>
      </c>
      <c r="D256">
        <v>1112</v>
      </c>
      <c r="E256">
        <v>1624.61</v>
      </c>
      <c r="F256">
        <v>339</v>
      </c>
      <c r="G256">
        <v>375.08</v>
      </c>
      <c r="H256">
        <v>21.95</v>
      </c>
      <c r="I256" t="s">
        <v>31</v>
      </c>
      <c r="J256">
        <v>418</v>
      </c>
      <c r="K256">
        <v>26.98</v>
      </c>
      <c r="L256">
        <v>31</v>
      </c>
      <c r="M256">
        <v>59.65</v>
      </c>
      <c r="N256">
        <v>95.41</v>
      </c>
      <c r="O256">
        <v>81</v>
      </c>
      <c r="P256">
        <v>4.3</v>
      </c>
    </row>
    <row r="257" spans="1:16" x14ac:dyDescent="0.25">
      <c r="A257" t="s">
        <v>38</v>
      </c>
      <c r="B257" t="s">
        <v>33</v>
      </c>
      <c r="C257" t="s">
        <v>44</v>
      </c>
      <c r="D257">
        <v>1032</v>
      </c>
      <c r="E257">
        <v>1071.48</v>
      </c>
      <c r="F257">
        <v>105</v>
      </c>
      <c r="G257">
        <v>90.03</v>
      </c>
      <c r="H257">
        <v>29.21</v>
      </c>
      <c r="I257" t="s">
        <v>31</v>
      </c>
      <c r="J257">
        <v>90</v>
      </c>
      <c r="K257">
        <v>10.38</v>
      </c>
      <c r="L257">
        <v>428</v>
      </c>
      <c r="M257">
        <v>61.53</v>
      </c>
      <c r="N257">
        <v>88.67</v>
      </c>
      <c r="O257">
        <v>489</v>
      </c>
      <c r="P257">
        <v>4.0199999999999996</v>
      </c>
    </row>
    <row r="258" spans="1:16" x14ac:dyDescent="0.25">
      <c r="A258" t="s">
        <v>38</v>
      </c>
      <c r="B258" t="s">
        <v>21</v>
      </c>
      <c r="C258" t="s">
        <v>24</v>
      </c>
      <c r="D258">
        <v>165</v>
      </c>
      <c r="E258">
        <v>247.88</v>
      </c>
      <c r="F258">
        <v>108</v>
      </c>
      <c r="G258">
        <v>16.260000000000002</v>
      </c>
      <c r="H258">
        <v>26.05</v>
      </c>
      <c r="I258" t="s">
        <v>25</v>
      </c>
      <c r="J258">
        <v>471</v>
      </c>
      <c r="K258">
        <v>12.58</v>
      </c>
      <c r="L258">
        <v>69</v>
      </c>
      <c r="M258">
        <v>73.39</v>
      </c>
      <c r="N258">
        <v>95.76</v>
      </c>
      <c r="O258">
        <v>254</v>
      </c>
      <c r="P258">
        <v>6.32</v>
      </c>
    </row>
    <row r="259" spans="1:16" x14ac:dyDescent="0.25">
      <c r="A259" t="s">
        <v>16</v>
      </c>
      <c r="B259" t="s">
        <v>27</v>
      </c>
      <c r="C259" t="s">
        <v>37</v>
      </c>
      <c r="D259">
        <v>1136</v>
      </c>
      <c r="E259">
        <v>1014.29</v>
      </c>
      <c r="F259">
        <v>209</v>
      </c>
      <c r="G259">
        <v>393.32</v>
      </c>
      <c r="H259">
        <v>13.25</v>
      </c>
      <c r="I259" t="s">
        <v>29</v>
      </c>
      <c r="J259">
        <v>221</v>
      </c>
      <c r="K259">
        <v>11.19</v>
      </c>
      <c r="L259">
        <v>74</v>
      </c>
      <c r="M259">
        <v>62.29</v>
      </c>
      <c r="N259">
        <v>98.17</v>
      </c>
      <c r="O259">
        <v>225</v>
      </c>
      <c r="P259">
        <v>6.02</v>
      </c>
    </row>
    <row r="260" spans="1:16" x14ac:dyDescent="0.25">
      <c r="A260" t="s">
        <v>20</v>
      </c>
      <c r="B260" t="s">
        <v>30</v>
      </c>
      <c r="C260" t="s">
        <v>22</v>
      </c>
      <c r="D260">
        <v>979</v>
      </c>
      <c r="E260">
        <v>809.1</v>
      </c>
      <c r="F260">
        <v>371</v>
      </c>
      <c r="G260">
        <v>160.97</v>
      </c>
      <c r="H260">
        <v>18.77</v>
      </c>
      <c r="I260" t="s">
        <v>31</v>
      </c>
      <c r="J260">
        <v>61</v>
      </c>
      <c r="K260">
        <v>7.35</v>
      </c>
      <c r="L260">
        <v>492</v>
      </c>
      <c r="M260">
        <v>54.83</v>
      </c>
      <c r="N260">
        <v>87.54</v>
      </c>
      <c r="O260">
        <v>62</v>
      </c>
      <c r="P260">
        <v>5.61</v>
      </c>
    </row>
    <row r="261" spans="1:16" x14ac:dyDescent="0.25">
      <c r="A261" t="s">
        <v>42</v>
      </c>
      <c r="B261" t="s">
        <v>33</v>
      </c>
      <c r="C261" t="s">
        <v>44</v>
      </c>
      <c r="D261">
        <v>171</v>
      </c>
      <c r="E261">
        <v>114.57</v>
      </c>
      <c r="F261">
        <v>35</v>
      </c>
      <c r="G261">
        <v>344.62</v>
      </c>
      <c r="H261">
        <v>26.93</v>
      </c>
      <c r="I261" t="s">
        <v>19</v>
      </c>
      <c r="J261">
        <v>670</v>
      </c>
      <c r="K261">
        <v>15.83</v>
      </c>
      <c r="L261">
        <v>74</v>
      </c>
      <c r="M261">
        <v>65.849999999999994</v>
      </c>
      <c r="N261">
        <v>84.79</v>
      </c>
      <c r="O261">
        <v>219</v>
      </c>
      <c r="P261">
        <v>6.92</v>
      </c>
    </row>
    <row r="262" spans="1:16" x14ac:dyDescent="0.25">
      <c r="A262" t="s">
        <v>41</v>
      </c>
      <c r="B262" t="s">
        <v>21</v>
      </c>
      <c r="C262" t="s">
        <v>37</v>
      </c>
      <c r="D262">
        <v>1880</v>
      </c>
      <c r="E262">
        <v>1203.18</v>
      </c>
      <c r="F262">
        <v>215</v>
      </c>
      <c r="G262">
        <v>140.19</v>
      </c>
      <c r="H262">
        <v>25.22</v>
      </c>
      <c r="I262" t="s">
        <v>25</v>
      </c>
      <c r="J262">
        <v>111</v>
      </c>
      <c r="K262">
        <v>15.18</v>
      </c>
      <c r="L262">
        <v>35</v>
      </c>
      <c r="M262">
        <v>63.29</v>
      </c>
      <c r="N262">
        <v>86.77</v>
      </c>
      <c r="O262">
        <v>83</v>
      </c>
      <c r="P262">
        <v>6.33</v>
      </c>
    </row>
    <row r="263" spans="1:16" x14ac:dyDescent="0.25">
      <c r="A263" t="s">
        <v>16</v>
      </c>
      <c r="B263" t="s">
        <v>33</v>
      </c>
      <c r="C263" t="s">
        <v>22</v>
      </c>
      <c r="D263">
        <v>924</v>
      </c>
      <c r="E263">
        <v>1368.32</v>
      </c>
      <c r="F263">
        <v>160</v>
      </c>
      <c r="G263">
        <v>175.91</v>
      </c>
      <c r="H263">
        <v>13.06</v>
      </c>
      <c r="I263" t="s">
        <v>19</v>
      </c>
      <c r="J263">
        <v>194</v>
      </c>
      <c r="K263">
        <v>38.72</v>
      </c>
      <c r="L263">
        <v>457</v>
      </c>
      <c r="M263">
        <v>63.33</v>
      </c>
      <c r="N263">
        <v>90.82</v>
      </c>
      <c r="O263">
        <v>379</v>
      </c>
      <c r="P263">
        <v>9.0399999999999991</v>
      </c>
    </row>
    <row r="264" spans="1:16" x14ac:dyDescent="0.25">
      <c r="A264" t="s">
        <v>16</v>
      </c>
      <c r="B264" t="s">
        <v>23</v>
      </c>
      <c r="C264" t="s">
        <v>28</v>
      </c>
      <c r="D264">
        <v>1244</v>
      </c>
      <c r="E264">
        <v>836.29</v>
      </c>
      <c r="F264">
        <v>236</v>
      </c>
      <c r="G264">
        <v>203.83</v>
      </c>
      <c r="H264">
        <v>19.350000000000001</v>
      </c>
      <c r="I264" t="s">
        <v>19</v>
      </c>
      <c r="J264">
        <v>657</v>
      </c>
      <c r="K264">
        <v>10.29</v>
      </c>
      <c r="L264">
        <v>383</v>
      </c>
      <c r="M264">
        <v>59.43</v>
      </c>
      <c r="N264">
        <v>86.25</v>
      </c>
      <c r="O264">
        <v>301</v>
      </c>
      <c r="P264">
        <v>1.61</v>
      </c>
    </row>
    <row r="265" spans="1:16" x14ac:dyDescent="0.25">
      <c r="A265" t="s">
        <v>20</v>
      </c>
      <c r="B265" t="s">
        <v>23</v>
      </c>
      <c r="C265" t="s">
        <v>35</v>
      </c>
      <c r="D265">
        <v>789</v>
      </c>
      <c r="E265">
        <v>1440.14</v>
      </c>
      <c r="F265">
        <v>251</v>
      </c>
      <c r="G265">
        <v>169.06</v>
      </c>
      <c r="H265">
        <v>23.8</v>
      </c>
      <c r="I265" t="s">
        <v>31</v>
      </c>
      <c r="J265">
        <v>997</v>
      </c>
      <c r="K265">
        <v>4.34</v>
      </c>
      <c r="L265">
        <v>251</v>
      </c>
      <c r="M265">
        <v>84.08</v>
      </c>
      <c r="N265">
        <v>97.73</v>
      </c>
      <c r="O265">
        <v>184</v>
      </c>
      <c r="P265">
        <v>1.99</v>
      </c>
    </row>
    <row r="266" spans="1:16" x14ac:dyDescent="0.25">
      <c r="A266" t="s">
        <v>42</v>
      </c>
      <c r="B266" t="s">
        <v>23</v>
      </c>
      <c r="C266" t="s">
        <v>34</v>
      </c>
      <c r="D266">
        <v>1273</v>
      </c>
      <c r="E266">
        <v>1846.03</v>
      </c>
      <c r="F266">
        <v>68</v>
      </c>
      <c r="G266">
        <v>426.59</v>
      </c>
      <c r="H266">
        <v>9.2200000000000006</v>
      </c>
      <c r="I266" t="s">
        <v>19</v>
      </c>
      <c r="J266">
        <v>636</v>
      </c>
      <c r="K266">
        <v>38.69</v>
      </c>
      <c r="L266">
        <v>132</v>
      </c>
      <c r="M266">
        <v>59.01</v>
      </c>
      <c r="N266">
        <v>85.3</v>
      </c>
      <c r="O266">
        <v>414</v>
      </c>
      <c r="P266">
        <v>7.8</v>
      </c>
    </row>
    <row r="267" spans="1:16" x14ac:dyDescent="0.25">
      <c r="A267" t="s">
        <v>38</v>
      </c>
      <c r="B267" t="s">
        <v>33</v>
      </c>
      <c r="C267" t="s">
        <v>39</v>
      </c>
      <c r="D267">
        <v>1439</v>
      </c>
      <c r="E267">
        <v>1825.52</v>
      </c>
      <c r="F267">
        <v>292</v>
      </c>
      <c r="G267">
        <v>349.01</v>
      </c>
      <c r="H267">
        <v>7.7</v>
      </c>
      <c r="I267" t="s">
        <v>29</v>
      </c>
      <c r="J267">
        <v>288</v>
      </c>
      <c r="K267">
        <v>1.98</v>
      </c>
      <c r="L267">
        <v>412</v>
      </c>
      <c r="M267">
        <v>56.93</v>
      </c>
      <c r="N267">
        <v>92.74</v>
      </c>
      <c r="O267">
        <v>455</v>
      </c>
      <c r="P267">
        <v>3.83</v>
      </c>
    </row>
    <row r="268" spans="1:16" x14ac:dyDescent="0.25">
      <c r="A268" t="s">
        <v>36</v>
      </c>
      <c r="B268" t="s">
        <v>21</v>
      </c>
      <c r="C268" t="s">
        <v>37</v>
      </c>
      <c r="D268">
        <v>262</v>
      </c>
      <c r="E268">
        <v>134.66999999999999</v>
      </c>
      <c r="F268">
        <v>398</v>
      </c>
      <c r="G268">
        <v>42.78</v>
      </c>
      <c r="H268">
        <v>20.59</v>
      </c>
      <c r="I268" t="s">
        <v>29</v>
      </c>
      <c r="J268">
        <v>787</v>
      </c>
      <c r="K268">
        <v>38.4</v>
      </c>
      <c r="L268">
        <v>195</v>
      </c>
      <c r="M268">
        <v>87.63</v>
      </c>
      <c r="N268">
        <v>87.97</v>
      </c>
      <c r="O268">
        <v>335</v>
      </c>
      <c r="P268">
        <v>7.5</v>
      </c>
    </row>
    <row r="269" spans="1:16" x14ac:dyDescent="0.25">
      <c r="A269" t="s">
        <v>26</v>
      </c>
      <c r="B269" t="s">
        <v>23</v>
      </c>
      <c r="C269" t="s">
        <v>28</v>
      </c>
      <c r="D269">
        <v>1793</v>
      </c>
      <c r="E269">
        <v>1662.18</v>
      </c>
      <c r="F269">
        <v>449</v>
      </c>
      <c r="G269">
        <v>395.37</v>
      </c>
      <c r="H269">
        <v>27.17</v>
      </c>
      <c r="I269" t="s">
        <v>19</v>
      </c>
      <c r="J269">
        <v>824</v>
      </c>
      <c r="K269">
        <v>44.46</v>
      </c>
      <c r="L269">
        <v>163</v>
      </c>
      <c r="M269">
        <v>86.03</v>
      </c>
      <c r="N269">
        <v>80.900000000000006</v>
      </c>
      <c r="O269">
        <v>389</v>
      </c>
      <c r="P269">
        <v>3.94</v>
      </c>
    </row>
    <row r="270" spans="1:16" x14ac:dyDescent="0.25">
      <c r="A270" t="s">
        <v>42</v>
      </c>
      <c r="B270" t="s">
        <v>17</v>
      </c>
      <c r="C270" t="s">
        <v>34</v>
      </c>
      <c r="D270">
        <v>1415</v>
      </c>
      <c r="E270">
        <v>2101.9699999999998</v>
      </c>
      <c r="F270">
        <v>294</v>
      </c>
      <c r="G270">
        <v>103.09</v>
      </c>
      <c r="H270">
        <v>15.87</v>
      </c>
      <c r="I270" t="s">
        <v>25</v>
      </c>
      <c r="J270">
        <v>702</v>
      </c>
      <c r="K270">
        <v>7.19</v>
      </c>
      <c r="L270">
        <v>380</v>
      </c>
      <c r="M270">
        <v>76.87</v>
      </c>
      <c r="N270">
        <v>84.29</v>
      </c>
      <c r="O270">
        <v>317</v>
      </c>
      <c r="P270">
        <v>8.1999999999999993</v>
      </c>
    </row>
    <row r="271" spans="1:16" x14ac:dyDescent="0.25">
      <c r="A271" t="s">
        <v>16</v>
      </c>
      <c r="B271" t="s">
        <v>21</v>
      </c>
      <c r="C271" t="s">
        <v>37</v>
      </c>
      <c r="D271">
        <v>1073</v>
      </c>
      <c r="E271">
        <v>916.74</v>
      </c>
      <c r="F271">
        <v>295</v>
      </c>
      <c r="G271">
        <v>230.59</v>
      </c>
      <c r="H271">
        <v>6.21</v>
      </c>
      <c r="I271" t="s">
        <v>19</v>
      </c>
      <c r="J271">
        <v>954</v>
      </c>
      <c r="K271">
        <v>13.64</v>
      </c>
      <c r="L271">
        <v>483</v>
      </c>
      <c r="M271">
        <v>79.64</v>
      </c>
      <c r="N271">
        <v>84.7</v>
      </c>
      <c r="O271">
        <v>60</v>
      </c>
      <c r="P271">
        <v>1.79</v>
      </c>
    </row>
    <row r="272" spans="1:16" x14ac:dyDescent="0.25">
      <c r="A272" t="s">
        <v>42</v>
      </c>
      <c r="B272" t="s">
        <v>27</v>
      </c>
      <c r="C272" t="s">
        <v>37</v>
      </c>
      <c r="D272">
        <v>1533</v>
      </c>
      <c r="E272">
        <v>1657.95</v>
      </c>
      <c r="F272">
        <v>26</v>
      </c>
      <c r="G272">
        <v>489.23</v>
      </c>
      <c r="H272">
        <v>10.59</v>
      </c>
      <c r="I272" t="s">
        <v>29</v>
      </c>
      <c r="J272">
        <v>722</v>
      </c>
      <c r="K272">
        <v>45.47</v>
      </c>
      <c r="L272">
        <v>408</v>
      </c>
      <c r="M272">
        <v>81.61</v>
      </c>
      <c r="N272">
        <v>94.44</v>
      </c>
      <c r="O272">
        <v>98</v>
      </c>
      <c r="P272">
        <v>4.68</v>
      </c>
    </row>
    <row r="273" spans="1:16" x14ac:dyDescent="0.25">
      <c r="A273" t="s">
        <v>16</v>
      </c>
      <c r="B273" t="s">
        <v>21</v>
      </c>
      <c r="C273" t="s">
        <v>40</v>
      </c>
      <c r="D273">
        <v>219</v>
      </c>
      <c r="E273">
        <v>329.86</v>
      </c>
      <c r="F273">
        <v>150</v>
      </c>
      <c r="G273">
        <v>487.73</v>
      </c>
      <c r="H273">
        <v>19.059999999999999</v>
      </c>
      <c r="I273" t="s">
        <v>31</v>
      </c>
      <c r="J273">
        <v>836</v>
      </c>
      <c r="K273">
        <v>14.55</v>
      </c>
      <c r="L273">
        <v>220</v>
      </c>
      <c r="M273">
        <v>73.150000000000006</v>
      </c>
      <c r="N273">
        <v>82.97</v>
      </c>
      <c r="O273">
        <v>159</v>
      </c>
      <c r="P273">
        <v>1.38</v>
      </c>
    </row>
    <row r="274" spans="1:16" x14ac:dyDescent="0.25">
      <c r="A274" t="s">
        <v>26</v>
      </c>
      <c r="B274" t="s">
        <v>30</v>
      </c>
      <c r="C274" t="s">
        <v>37</v>
      </c>
      <c r="D274">
        <v>187</v>
      </c>
      <c r="E274">
        <v>231.31</v>
      </c>
      <c r="F274">
        <v>194</v>
      </c>
      <c r="G274">
        <v>289.69</v>
      </c>
      <c r="H274">
        <v>16.45</v>
      </c>
      <c r="I274" t="s">
        <v>29</v>
      </c>
      <c r="J274">
        <v>517</v>
      </c>
      <c r="K274">
        <v>24.76</v>
      </c>
      <c r="L274">
        <v>154</v>
      </c>
      <c r="M274">
        <v>87.59</v>
      </c>
      <c r="N274">
        <v>87.99</v>
      </c>
      <c r="O274">
        <v>441</v>
      </c>
      <c r="P274">
        <v>5.53</v>
      </c>
    </row>
    <row r="275" spans="1:16" x14ac:dyDescent="0.25">
      <c r="A275" t="s">
        <v>36</v>
      </c>
      <c r="B275" t="s">
        <v>27</v>
      </c>
      <c r="C275" t="s">
        <v>45</v>
      </c>
      <c r="D275">
        <v>833</v>
      </c>
      <c r="E275">
        <v>611.52</v>
      </c>
      <c r="F275">
        <v>116</v>
      </c>
      <c r="G275">
        <v>48.45</v>
      </c>
      <c r="H275">
        <v>15.69</v>
      </c>
      <c r="I275" t="s">
        <v>31</v>
      </c>
      <c r="J275">
        <v>344</v>
      </c>
      <c r="K275">
        <v>35.1</v>
      </c>
      <c r="L275">
        <v>365</v>
      </c>
      <c r="M275">
        <v>53.76</v>
      </c>
      <c r="N275">
        <v>87.01</v>
      </c>
      <c r="O275">
        <v>58</v>
      </c>
      <c r="P275">
        <v>3.81</v>
      </c>
    </row>
    <row r="276" spans="1:16" x14ac:dyDescent="0.25">
      <c r="A276" t="s">
        <v>36</v>
      </c>
      <c r="B276" t="s">
        <v>23</v>
      </c>
      <c r="C276" t="s">
        <v>24</v>
      </c>
      <c r="D276">
        <v>860</v>
      </c>
      <c r="E276">
        <v>435.77</v>
      </c>
      <c r="F276">
        <v>489</v>
      </c>
      <c r="G276">
        <v>281.10000000000002</v>
      </c>
      <c r="H276">
        <v>25.01</v>
      </c>
      <c r="I276" t="s">
        <v>31</v>
      </c>
      <c r="J276">
        <v>803</v>
      </c>
      <c r="K276">
        <v>4.87</v>
      </c>
      <c r="L276">
        <v>128</v>
      </c>
      <c r="M276">
        <v>74.760000000000005</v>
      </c>
      <c r="N276">
        <v>86.66</v>
      </c>
      <c r="O276">
        <v>80</v>
      </c>
      <c r="P276">
        <v>9.4600000000000009</v>
      </c>
    </row>
    <row r="277" spans="1:16" x14ac:dyDescent="0.25">
      <c r="A277" t="s">
        <v>26</v>
      </c>
      <c r="B277" t="s">
        <v>21</v>
      </c>
      <c r="C277" t="s">
        <v>35</v>
      </c>
      <c r="D277">
        <v>345</v>
      </c>
      <c r="E277">
        <v>358.28</v>
      </c>
      <c r="F277">
        <v>15</v>
      </c>
      <c r="G277">
        <v>414.39</v>
      </c>
      <c r="H277">
        <v>5.8</v>
      </c>
      <c r="I277" t="s">
        <v>31</v>
      </c>
      <c r="J277">
        <v>310</v>
      </c>
      <c r="K277">
        <v>4.0999999999999996</v>
      </c>
      <c r="L277">
        <v>356</v>
      </c>
      <c r="M277">
        <v>62.04</v>
      </c>
      <c r="N277">
        <v>86.5</v>
      </c>
      <c r="O277">
        <v>150</v>
      </c>
      <c r="P277">
        <v>8.83</v>
      </c>
    </row>
    <row r="278" spans="1:16" x14ac:dyDescent="0.25">
      <c r="A278" t="s">
        <v>42</v>
      </c>
      <c r="B278" t="s">
        <v>23</v>
      </c>
      <c r="C278" t="s">
        <v>44</v>
      </c>
      <c r="D278">
        <v>853</v>
      </c>
      <c r="E278">
        <v>962.23</v>
      </c>
      <c r="F278">
        <v>78</v>
      </c>
      <c r="G278">
        <v>97.8</v>
      </c>
      <c r="H278">
        <v>20.52</v>
      </c>
      <c r="I278" t="s">
        <v>19</v>
      </c>
      <c r="J278">
        <v>146</v>
      </c>
      <c r="K278">
        <v>31.94</v>
      </c>
      <c r="L278">
        <v>346</v>
      </c>
      <c r="M278">
        <v>94.05</v>
      </c>
      <c r="N278">
        <v>82.24</v>
      </c>
      <c r="O278">
        <v>392</v>
      </c>
      <c r="P278">
        <v>3.42</v>
      </c>
    </row>
    <row r="279" spans="1:16" x14ac:dyDescent="0.25">
      <c r="A279" t="s">
        <v>36</v>
      </c>
      <c r="B279" t="s">
        <v>30</v>
      </c>
      <c r="C279" t="s">
        <v>18</v>
      </c>
      <c r="D279">
        <v>1131</v>
      </c>
      <c r="E279">
        <v>1466.08</v>
      </c>
      <c r="F279">
        <v>408</v>
      </c>
      <c r="G279">
        <v>80.28</v>
      </c>
      <c r="H279">
        <v>13.57</v>
      </c>
      <c r="I279" t="s">
        <v>31</v>
      </c>
      <c r="J279">
        <v>725</v>
      </c>
      <c r="K279">
        <v>46.79</v>
      </c>
      <c r="L279">
        <v>329</v>
      </c>
      <c r="M279">
        <v>89.93</v>
      </c>
      <c r="N279">
        <v>92.91</v>
      </c>
      <c r="O279">
        <v>238</v>
      </c>
      <c r="P279">
        <v>1.38</v>
      </c>
    </row>
    <row r="280" spans="1:16" x14ac:dyDescent="0.25">
      <c r="A280" t="s">
        <v>26</v>
      </c>
      <c r="B280" t="s">
        <v>17</v>
      </c>
      <c r="C280" t="s">
        <v>39</v>
      </c>
      <c r="D280">
        <v>1176</v>
      </c>
      <c r="E280">
        <v>1469.97</v>
      </c>
      <c r="F280">
        <v>413</v>
      </c>
      <c r="G280">
        <v>38.32</v>
      </c>
      <c r="H280">
        <v>14.21</v>
      </c>
      <c r="I280" t="s">
        <v>19</v>
      </c>
      <c r="J280">
        <v>53</v>
      </c>
      <c r="K280">
        <v>2.98</v>
      </c>
      <c r="L280">
        <v>107</v>
      </c>
      <c r="M280">
        <v>76.510000000000005</v>
      </c>
      <c r="N280">
        <v>88.6</v>
      </c>
      <c r="O280">
        <v>123</v>
      </c>
      <c r="P280">
        <v>9.48</v>
      </c>
    </row>
    <row r="281" spans="1:16" x14ac:dyDescent="0.25">
      <c r="A281" t="s">
        <v>41</v>
      </c>
      <c r="B281" t="s">
        <v>21</v>
      </c>
      <c r="C281" t="s">
        <v>24</v>
      </c>
      <c r="D281">
        <v>1058</v>
      </c>
      <c r="E281">
        <v>927.55</v>
      </c>
      <c r="F281">
        <v>225</v>
      </c>
      <c r="G281">
        <v>207.98</v>
      </c>
      <c r="H281">
        <v>16.86</v>
      </c>
      <c r="I281" t="s">
        <v>19</v>
      </c>
      <c r="J281">
        <v>937</v>
      </c>
      <c r="K281">
        <v>18.829999999999998</v>
      </c>
      <c r="L281">
        <v>488</v>
      </c>
      <c r="M281">
        <v>73.14</v>
      </c>
      <c r="N281">
        <v>82.15</v>
      </c>
      <c r="O281">
        <v>295</v>
      </c>
      <c r="P281">
        <v>6.27</v>
      </c>
    </row>
    <row r="282" spans="1:16" x14ac:dyDescent="0.25">
      <c r="A282" t="s">
        <v>43</v>
      </c>
      <c r="B282" t="s">
        <v>21</v>
      </c>
      <c r="C282" t="s">
        <v>39</v>
      </c>
      <c r="D282">
        <v>1259</v>
      </c>
      <c r="E282">
        <v>1668.58</v>
      </c>
      <c r="F282">
        <v>229</v>
      </c>
      <c r="G282">
        <v>218.26</v>
      </c>
      <c r="H282">
        <v>7.79</v>
      </c>
      <c r="I282" t="s">
        <v>29</v>
      </c>
      <c r="J282">
        <v>83</v>
      </c>
      <c r="K282">
        <v>27.83</v>
      </c>
      <c r="L282">
        <v>370</v>
      </c>
      <c r="M282">
        <v>53.95</v>
      </c>
      <c r="N282">
        <v>90.48</v>
      </c>
      <c r="O282">
        <v>164</v>
      </c>
      <c r="P282">
        <v>8.61</v>
      </c>
    </row>
    <row r="283" spans="1:16" x14ac:dyDescent="0.25">
      <c r="A283" t="s">
        <v>42</v>
      </c>
      <c r="B283" t="s">
        <v>30</v>
      </c>
      <c r="C283" t="s">
        <v>45</v>
      </c>
      <c r="D283">
        <v>1547</v>
      </c>
      <c r="E283">
        <v>3022.74</v>
      </c>
      <c r="F283">
        <v>47</v>
      </c>
      <c r="G283">
        <v>431.23</v>
      </c>
      <c r="H283">
        <v>7.52</v>
      </c>
      <c r="I283" t="s">
        <v>31</v>
      </c>
      <c r="J283">
        <v>34</v>
      </c>
      <c r="K283">
        <v>25.33</v>
      </c>
      <c r="L283">
        <v>112</v>
      </c>
      <c r="M283">
        <v>94.69</v>
      </c>
      <c r="N283">
        <v>90.07</v>
      </c>
      <c r="O283">
        <v>129</v>
      </c>
      <c r="P283">
        <v>4.75</v>
      </c>
    </row>
    <row r="284" spans="1:16" x14ac:dyDescent="0.25">
      <c r="A284" t="s">
        <v>43</v>
      </c>
      <c r="B284" t="s">
        <v>21</v>
      </c>
      <c r="C284" t="s">
        <v>34</v>
      </c>
      <c r="D284">
        <v>410</v>
      </c>
      <c r="E284">
        <v>209.4</v>
      </c>
      <c r="F284">
        <v>166</v>
      </c>
      <c r="G284">
        <v>222</v>
      </c>
      <c r="H284">
        <v>23.03</v>
      </c>
      <c r="I284" t="s">
        <v>31</v>
      </c>
      <c r="J284">
        <v>758</v>
      </c>
      <c r="K284">
        <v>6.27</v>
      </c>
      <c r="L284">
        <v>438</v>
      </c>
      <c r="M284">
        <v>95.06</v>
      </c>
      <c r="N284">
        <v>80.180000000000007</v>
      </c>
      <c r="O284">
        <v>100</v>
      </c>
      <c r="P284">
        <v>8.7799999999999994</v>
      </c>
    </row>
    <row r="285" spans="1:16" x14ac:dyDescent="0.25">
      <c r="A285" t="s">
        <v>20</v>
      </c>
      <c r="B285" t="s">
        <v>27</v>
      </c>
      <c r="C285" t="s">
        <v>39</v>
      </c>
      <c r="D285">
        <v>1511</v>
      </c>
      <c r="E285">
        <v>1303.81</v>
      </c>
      <c r="F285">
        <v>271</v>
      </c>
      <c r="G285">
        <v>156.16</v>
      </c>
      <c r="H285">
        <v>13.12</v>
      </c>
      <c r="I285" t="s">
        <v>19</v>
      </c>
      <c r="J285">
        <v>787</v>
      </c>
      <c r="K285">
        <v>41.66</v>
      </c>
      <c r="L285">
        <v>41</v>
      </c>
      <c r="M285">
        <v>93.41</v>
      </c>
      <c r="N285">
        <v>81.319999999999993</v>
      </c>
      <c r="O285">
        <v>105</v>
      </c>
      <c r="P285">
        <v>4.6399999999999997</v>
      </c>
    </row>
    <row r="286" spans="1:16" x14ac:dyDescent="0.25">
      <c r="A286" t="s">
        <v>26</v>
      </c>
      <c r="B286" t="s">
        <v>27</v>
      </c>
      <c r="C286" t="s">
        <v>28</v>
      </c>
      <c r="D286">
        <v>885</v>
      </c>
      <c r="E286">
        <v>644.16</v>
      </c>
      <c r="F286">
        <v>435</v>
      </c>
      <c r="G286">
        <v>441.98</v>
      </c>
      <c r="H286">
        <v>28.4</v>
      </c>
      <c r="I286" t="s">
        <v>31</v>
      </c>
      <c r="J286">
        <v>811</v>
      </c>
      <c r="K286">
        <v>20.46</v>
      </c>
      <c r="L286">
        <v>114</v>
      </c>
      <c r="M286">
        <v>58.73</v>
      </c>
      <c r="N286">
        <v>97.96</v>
      </c>
      <c r="O286">
        <v>58</v>
      </c>
      <c r="P286">
        <v>7.14</v>
      </c>
    </row>
    <row r="287" spans="1:16" x14ac:dyDescent="0.25">
      <c r="A287" t="s">
        <v>36</v>
      </c>
      <c r="B287" t="s">
        <v>27</v>
      </c>
      <c r="C287" t="s">
        <v>37</v>
      </c>
      <c r="D287">
        <v>59</v>
      </c>
      <c r="E287">
        <v>42.68</v>
      </c>
      <c r="F287">
        <v>376</v>
      </c>
      <c r="G287">
        <v>181.96</v>
      </c>
      <c r="H287">
        <v>27.23</v>
      </c>
      <c r="I287" t="s">
        <v>19</v>
      </c>
      <c r="J287">
        <v>198</v>
      </c>
      <c r="K287">
        <v>31.44</v>
      </c>
      <c r="L287">
        <v>58</v>
      </c>
      <c r="M287">
        <v>84.07</v>
      </c>
      <c r="N287">
        <v>85.38</v>
      </c>
      <c r="O287">
        <v>65</v>
      </c>
      <c r="P287">
        <v>9.1999999999999993</v>
      </c>
    </row>
    <row r="288" spans="1:16" x14ac:dyDescent="0.25">
      <c r="A288" t="s">
        <v>42</v>
      </c>
      <c r="B288" t="s">
        <v>33</v>
      </c>
      <c r="C288" t="s">
        <v>44</v>
      </c>
      <c r="D288">
        <v>158</v>
      </c>
      <c r="E288">
        <v>194.65</v>
      </c>
      <c r="F288">
        <v>340</v>
      </c>
      <c r="G288">
        <v>445.15</v>
      </c>
      <c r="H288">
        <v>24.99</v>
      </c>
      <c r="I288" t="s">
        <v>31</v>
      </c>
      <c r="J288">
        <v>905</v>
      </c>
      <c r="K288">
        <v>26.97</v>
      </c>
      <c r="L288">
        <v>437</v>
      </c>
      <c r="M288">
        <v>50.99</v>
      </c>
      <c r="N288">
        <v>88.14</v>
      </c>
      <c r="O288">
        <v>384</v>
      </c>
      <c r="P288">
        <v>2.11</v>
      </c>
    </row>
    <row r="289" spans="1:16" x14ac:dyDescent="0.25">
      <c r="A289" t="s">
        <v>26</v>
      </c>
      <c r="B289" t="s">
        <v>30</v>
      </c>
      <c r="C289" t="s">
        <v>35</v>
      </c>
      <c r="D289">
        <v>1949</v>
      </c>
      <c r="E289">
        <v>2152.7600000000002</v>
      </c>
      <c r="F289">
        <v>71</v>
      </c>
      <c r="G289">
        <v>171.32</v>
      </c>
      <c r="H289">
        <v>29.83</v>
      </c>
      <c r="I289" t="s">
        <v>25</v>
      </c>
      <c r="J289">
        <v>924</v>
      </c>
      <c r="K289">
        <v>21.72</v>
      </c>
      <c r="L289">
        <v>248</v>
      </c>
      <c r="M289">
        <v>64.8</v>
      </c>
      <c r="N289">
        <v>83.88</v>
      </c>
      <c r="O289">
        <v>354</v>
      </c>
      <c r="P289">
        <v>9.34</v>
      </c>
    </row>
    <row r="290" spans="1:16" x14ac:dyDescent="0.25">
      <c r="A290" t="s">
        <v>42</v>
      </c>
      <c r="B290" t="s">
        <v>17</v>
      </c>
      <c r="C290" t="s">
        <v>37</v>
      </c>
      <c r="D290">
        <v>1070</v>
      </c>
      <c r="E290">
        <v>995.8</v>
      </c>
      <c r="F290">
        <v>372</v>
      </c>
      <c r="G290">
        <v>390.47</v>
      </c>
      <c r="H290">
        <v>22.65</v>
      </c>
      <c r="I290" t="s">
        <v>19</v>
      </c>
      <c r="J290">
        <v>431</v>
      </c>
      <c r="K290">
        <v>32.549999999999997</v>
      </c>
      <c r="L290">
        <v>23</v>
      </c>
      <c r="M290">
        <v>51.51</v>
      </c>
      <c r="N290">
        <v>86.05</v>
      </c>
      <c r="O290">
        <v>168</v>
      </c>
      <c r="P290">
        <v>2.85</v>
      </c>
    </row>
    <row r="291" spans="1:16" x14ac:dyDescent="0.25">
      <c r="A291" t="s">
        <v>36</v>
      </c>
      <c r="B291" t="s">
        <v>27</v>
      </c>
      <c r="C291" t="s">
        <v>28</v>
      </c>
      <c r="D291">
        <v>852</v>
      </c>
      <c r="E291">
        <v>1231.26</v>
      </c>
      <c r="F291">
        <v>398</v>
      </c>
      <c r="G291">
        <v>486.69</v>
      </c>
      <c r="H291">
        <v>24.58</v>
      </c>
      <c r="I291" t="s">
        <v>31</v>
      </c>
      <c r="J291">
        <v>732</v>
      </c>
      <c r="K291">
        <v>11.37</v>
      </c>
      <c r="L291">
        <v>466</v>
      </c>
      <c r="M291">
        <v>54.82</v>
      </c>
      <c r="N291">
        <v>97.65</v>
      </c>
      <c r="O291">
        <v>123</v>
      </c>
      <c r="P291">
        <v>6.42</v>
      </c>
    </row>
    <row r="292" spans="1:16" x14ac:dyDescent="0.25">
      <c r="A292" t="s">
        <v>16</v>
      </c>
      <c r="B292" t="s">
        <v>23</v>
      </c>
      <c r="C292" t="s">
        <v>45</v>
      </c>
      <c r="D292">
        <v>1946</v>
      </c>
      <c r="E292">
        <v>3289.16</v>
      </c>
      <c r="F292">
        <v>19</v>
      </c>
      <c r="G292">
        <v>27.94</v>
      </c>
      <c r="H292">
        <v>13.64</v>
      </c>
      <c r="I292" t="s">
        <v>19</v>
      </c>
      <c r="J292">
        <v>635</v>
      </c>
      <c r="K292">
        <v>49.89</v>
      </c>
      <c r="L292">
        <v>208</v>
      </c>
      <c r="M292">
        <v>82.05</v>
      </c>
      <c r="N292">
        <v>83.36</v>
      </c>
      <c r="O292">
        <v>355</v>
      </c>
      <c r="P292">
        <v>1</v>
      </c>
    </row>
    <row r="293" spans="1:16" x14ac:dyDescent="0.25">
      <c r="A293" t="s">
        <v>43</v>
      </c>
      <c r="B293" t="s">
        <v>33</v>
      </c>
      <c r="C293" t="s">
        <v>24</v>
      </c>
      <c r="D293">
        <v>1660</v>
      </c>
      <c r="E293">
        <v>1765.84</v>
      </c>
      <c r="F293">
        <v>173</v>
      </c>
      <c r="G293">
        <v>396.51</v>
      </c>
      <c r="H293">
        <v>18.52</v>
      </c>
      <c r="I293" t="s">
        <v>25</v>
      </c>
      <c r="J293">
        <v>699</v>
      </c>
      <c r="K293">
        <v>13.26</v>
      </c>
      <c r="L293">
        <v>138</v>
      </c>
      <c r="M293">
        <v>73.53</v>
      </c>
      <c r="N293">
        <v>90.66</v>
      </c>
      <c r="O293">
        <v>234</v>
      </c>
      <c r="P293">
        <v>6.35</v>
      </c>
    </row>
    <row r="294" spans="1:16" x14ac:dyDescent="0.25">
      <c r="A294" t="s">
        <v>43</v>
      </c>
      <c r="B294" t="s">
        <v>27</v>
      </c>
      <c r="C294" t="s">
        <v>39</v>
      </c>
      <c r="D294">
        <v>1537</v>
      </c>
      <c r="E294">
        <v>1234.31</v>
      </c>
      <c r="F294">
        <v>385</v>
      </c>
      <c r="G294">
        <v>360.11</v>
      </c>
      <c r="H294">
        <v>13.52</v>
      </c>
      <c r="I294" t="s">
        <v>31</v>
      </c>
      <c r="J294">
        <v>475</v>
      </c>
      <c r="K294">
        <v>18.670000000000002</v>
      </c>
      <c r="L294">
        <v>182</v>
      </c>
      <c r="M294">
        <v>92.96</v>
      </c>
      <c r="N294">
        <v>81.2</v>
      </c>
      <c r="O294">
        <v>164</v>
      </c>
      <c r="P294">
        <v>6.1</v>
      </c>
    </row>
    <row r="295" spans="1:16" x14ac:dyDescent="0.25">
      <c r="A295" t="s">
        <v>38</v>
      </c>
      <c r="B295" t="s">
        <v>17</v>
      </c>
      <c r="C295" t="s">
        <v>39</v>
      </c>
      <c r="D295">
        <v>310</v>
      </c>
      <c r="E295">
        <v>542.61</v>
      </c>
      <c r="F295">
        <v>57</v>
      </c>
      <c r="G295">
        <v>316.83999999999997</v>
      </c>
      <c r="H295">
        <v>10.210000000000001</v>
      </c>
      <c r="I295" t="s">
        <v>25</v>
      </c>
      <c r="J295">
        <v>982</v>
      </c>
      <c r="K295">
        <v>37.700000000000003</v>
      </c>
      <c r="L295">
        <v>294</v>
      </c>
      <c r="M295">
        <v>88.39</v>
      </c>
      <c r="N295">
        <v>92.91</v>
      </c>
      <c r="O295">
        <v>61</v>
      </c>
      <c r="P295">
        <v>5.28</v>
      </c>
    </row>
    <row r="296" spans="1:16" x14ac:dyDescent="0.25">
      <c r="A296" t="s">
        <v>26</v>
      </c>
      <c r="B296" t="s">
        <v>30</v>
      </c>
      <c r="C296" t="s">
        <v>34</v>
      </c>
      <c r="D296">
        <v>598</v>
      </c>
      <c r="E296">
        <v>979.05</v>
      </c>
      <c r="F296">
        <v>243</v>
      </c>
      <c r="G296">
        <v>175.26</v>
      </c>
      <c r="H296">
        <v>22.39</v>
      </c>
      <c r="I296" t="s">
        <v>31</v>
      </c>
      <c r="J296">
        <v>346</v>
      </c>
      <c r="K296">
        <v>46.27</v>
      </c>
      <c r="L296">
        <v>294</v>
      </c>
      <c r="M296">
        <v>51.47</v>
      </c>
      <c r="N296">
        <v>87.91</v>
      </c>
      <c r="O296">
        <v>225</v>
      </c>
      <c r="P296">
        <v>6.12</v>
      </c>
    </row>
    <row r="297" spans="1:16" x14ac:dyDescent="0.25">
      <c r="A297" t="s">
        <v>41</v>
      </c>
      <c r="B297" t="s">
        <v>27</v>
      </c>
      <c r="C297" t="s">
        <v>35</v>
      </c>
      <c r="D297">
        <v>1947</v>
      </c>
      <c r="E297">
        <v>2001.23</v>
      </c>
      <c r="F297">
        <v>139</v>
      </c>
      <c r="G297">
        <v>170.96</v>
      </c>
      <c r="H297">
        <v>12.39</v>
      </c>
      <c r="I297" t="s">
        <v>29</v>
      </c>
      <c r="J297">
        <v>678</v>
      </c>
      <c r="K297">
        <v>17.3</v>
      </c>
      <c r="L297">
        <v>229</v>
      </c>
      <c r="M297">
        <v>60.55</v>
      </c>
      <c r="N297">
        <v>98.5</v>
      </c>
      <c r="O297">
        <v>82</v>
      </c>
      <c r="P297">
        <v>8.69</v>
      </c>
    </row>
    <row r="298" spans="1:16" x14ac:dyDescent="0.25">
      <c r="A298" t="s">
        <v>36</v>
      </c>
      <c r="B298" t="s">
        <v>21</v>
      </c>
      <c r="C298" t="s">
        <v>45</v>
      </c>
      <c r="D298">
        <v>1229</v>
      </c>
      <c r="E298">
        <v>675.81</v>
      </c>
      <c r="F298">
        <v>419</v>
      </c>
      <c r="G298">
        <v>217.42</v>
      </c>
      <c r="H298">
        <v>20.46</v>
      </c>
      <c r="I298" t="s">
        <v>25</v>
      </c>
      <c r="J298">
        <v>76</v>
      </c>
      <c r="K298">
        <v>9.64</v>
      </c>
      <c r="L298">
        <v>197</v>
      </c>
      <c r="M298">
        <v>66.47</v>
      </c>
      <c r="N298">
        <v>87.13</v>
      </c>
      <c r="O298">
        <v>436</v>
      </c>
      <c r="P298">
        <v>4.4800000000000004</v>
      </c>
    </row>
    <row r="299" spans="1:16" x14ac:dyDescent="0.25">
      <c r="A299" t="s">
        <v>36</v>
      </c>
      <c r="B299" t="s">
        <v>33</v>
      </c>
      <c r="C299" t="s">
        <v>37</v>
      </c>
      <c r="D299">
        <v>1459</v>
      </c>
      <c r="E299">
        <v>1234.56</v>
      </c>
      <c r="F299">
        <v>457</v>
      </c>
      <c r="G299">
        <v>496.71</v>
      </c>
      <c r="H299">
        <v>18.87</v>
      </c>
      <c r="I299" t="s">
        <v>19</v>
      </c>
      <c r="J299">
        <v>406</v>
      </c>
      <c r="K299">
        <v>33.700000000000003</v>
      </c>
      <c r="L299">
        <v>368</v>
      </c>
      <c r="M299">
        <v>61.29</v>
      </c>
      <c r="N299">
        <v>93.08</v>
      </c>
      <c r="O299">
        <v>295</v>
      </c>
      <c r="P299">
        <v>2.4</v>
      </c>
    </row>
    <row r="300" spans="1:16" x14ac:dyDescent="0.25">
      <c r="A300" t="s">
        <v>38</v>
      </c>
      <c r="B300" t="s">
        <v>30</v>
      </c>
      <c r="C300" t="s">
        <v>18</v>
      </c>
      <c r="D300">
        <v>1315</v>
      </c>
      <c r="E300">
        <v>2369.3000000000002</v>
      </c>
      <c r="F300">
        <v>462</v>
      </c>
      <c r="G300">
        <v>137.07</v>
      </c>
      <c r="H300">
        <v>20.170000000000002</v>
      </c>
      <c r="I300" t="s">
        <v>31</v>
      </c>
      <c r="J300">
        <v>567</v>
      </c>
      <c r="K300">
        <v>40.159999999999997</v>
      </c>
      <c r="L300">
        <v>202</v>
      </c>
      <c r="M300">
        <v>91.04</v>
      </c>
      <c r="N300">
        <v>90.36</v>
      </c>
      <c r="O300">
        <v>239</v>
      </c>
      <c r="P300">
        <v>7.3</v>
      </c>
    </row>
    <row r="301" spans="1:16" x14ac:dyDescent="0.25">
      <c r="A301" t="s">
        <v>43</v>
      </c>
      <c r="B301" t="s">
        <v>30</v>
      </c>
      <c r="C301" t="s">
        <v>37</v>
      </c>
      <c r="D301">
        <v>446</v>
      </c>
      <c r="E301">
        <v>431.64</v>
      </c>
      <c r="F301">
        <v>156</v>
      </c>
      <c r="G301">
        <v>381.02</v>
      </c>
      <c r="H301">
        <v>21.25</v>
      </c>
      <c r="I301" t="s">
        <v>29</v>
      </c>
      <c r="J301">
        <v>972</v>
      </c>
      <c r="K301">
        <v>47.79</v>
      </c>
      <c r="L301">
        <v>232</v>
      </c>
      <c r="M301">
        <v>65.349999999999994</v>
      </c>
      <c r="N301">
        <v>86.39</v>
      </c>
      <c r="O301">
        <v>66</v>
      </c>
      <c r="P301">
        <v>5.49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CDBB-123B-4D01-A8B3-6996E66A5BBE}">
  <dimension ref="B2:O26"/>
  <sheetViews>
    <sheetView topLeftCell="A5" zoomScale="112" zoomScaleNormal="100" workbookViewId="0">
      <selection activeCell="F17" sqref="F17"/>
    </sheetView>
  </sheetViews>
  <sheetFormatPr defaultRowHeight="13.8" x14ac:dyDescent="0.25"/>
  <cols>
    <col min="2" max="2" width="11.8984375" bestFit="1" customWidth="1"/>
    <col min="3" max="3" width="12.19921875" bestFit="1" customWidth="1"/>
    <col min="4" max="4" width="19" bestFit="1" customWidth="1"/>
    <col min="5" max="6" width="11.8984375" bestFit="1" customWidth="1"/>
    <col min="7" max="7" width="16.59765625" bestFit="1" customWidth="1"/>
    <col min="9" max="9" width="11.8984375" bestFit="1" customWidth="1"/>
    <col min="10" max="10" width="29.8984375" bestFit="1" customWidth="1"/>
    <col min="11" max="11" width="27" bestFit="1" customWidth="1"/>
    <col min="12" max="12" width="26.69921875" bestFit="1" customWidth="1"/>
    <col min="14" max="14" width="15.09765625" customWidth="1"/>
  </cols>
  <sheetData>
    <row r="2" spans="2:15" ht="27.6" x14ac:dyDescent="0.25">
      <c r="B2" s="1" t="s">
        <v>46</v>
      </c>
      <c r="C2" s="5" t="s">
        <v>48</v>
      </c>
      <c r="D2" s="5" t="s">
        <v>49</v>
      </c>
      <c r="F2" s="1" t="s">
        <v>46</v>
      </c>
      <c r="G2" t="s">
        <v>50</v>
      </c>
      <c r="I2" s="1" t="s">
        <v>46</v>
      </c>
      <c r="J2" t="s">
        <v>51</v>
      </c>
      <c r="K2" t="s">
        <v>48</v>
      </c>
      <c r="M2" t="s">
        <v>57</v>
      </c>
    </row>
    <row r="3" spans="2:15" x14ac:dyDescent="0.25">
      <c r="B3" s="2" t="s">
        <v>20</v>
      </c>
      <c r="C3">
        <v>11136</v>
      </c>
      <c r="D3">
        <v>10576.329999999996</v>
      </c>
      <c r="F3" s="2" t="s">
        <v>20</v>
      </c>
      <c r="G3">
        <v>12293</v>
      </c>
      <c r="I3" s="2" t="s">
        <v>44</v>
      </c>
      <c r="J3">
        <v>33654.400000000001</v>
      </c>
      <c r="K3">
        <v>5927</v>
      </c>
    </row>
    <row r="4" spans="2:15" x14ac:dyDescent="0.25">
      <c r="B4" s="2" t="s">
        <v>41</v>
      </c>
      <c r="C4">
        <v>7813</v>
      </c>
      <c r="D4">
        <v>6413.91</v>
      </c>
      <c r="F4" s="2" t="s">
        <v>41</v>
      </c>
      <c r="G4">
        <v>7689</v>
      </c>
      <c r="I4" s="2" t="s">
        <v>39</v>
      </c>
      <c r="J4">
        <v>34169.030000000006</v>
      </c>
      <c r="K4">
        <v>6167</v>
      </c>
      <c r="M4" t="s">
        <v>59</v>
      </c>
      <c r="O4">
        <f>SUM(Table1[],'pivot tables'!E:E)</f>
        <v>1226141.4100000013</v>
      </c>
    </row>
    <row r="5" spans="2:15" x14ac:dyDescent="0.25">
      <c r="B5" s="2" t="s">
        <v>36</v>
      </c>
      <c r="C5">
        <v>12920</v>
      </c>
      <c r="D5">
        <v>11790.22</v>
      </c>
      <c r="F5" s="2" t="s">
        <v>36</v>
      </c>
      <c r="G5">
        <v>10489</v>
      </c>
      <c r="I5" s="2" t="s">
        <v>35</v>
      </c>
      <c r="J5">
        <v>34544.439999999995</v>
      </c>
      <c r="K5">
        <v>5582</v>
      </c>
      <c r="M5" t="s">
        <v>58</v>
      </c>
      <c r="O5">
        <f>SUM(Table1[],'pivot tables'!D2:D301)</f>
        <v>1374126.5241344001</v>
      </c>
    </row>
    <row r="6" spans="2:15" x14ac:dyDescent="0.25">
      <c r="B6" s="2" t="s">
        <v>26</v>
      </c>
      <c r="C6">
        <v>8635</v>
      </c>
      <c r="D6">
        <v>9210.5099999999984</v>
      </c>
      <c r="F6" s="2" t="s">
        <v>26</v>
      </c>
      <c r="G6">
        <v>11336</v>
      </c>
      <c r="I6" s="2" t="s">
        <v>24</v>
      </c>
      <c r="J6">
        <v>22386.12</v>
      </c>
      <c r="K6">
        <v>5791</v>
      </c>
      <c r="M6" t="s">
        <v>60</v>
      </c>
      <c r="O6">
        <f>AVERAGE(Table1[],'pivot tables'!M2:M301)</f>
        <v>340.59483611111148</v>
      </c>
    </row>
    <row r="7" spans="2:15" x14ac:dyDescent="0.25">
      <c r="B7" s="2" t="s">
        <v>42</v>
      </c>
      <c r="C7">
        <v>8764</v>
      </c>
      <c r="D7">
        <v>10318.629999999997</v>
      </c>
      <c r="F7" s="2" t="s">
        <v>42</v>
      </c>
      <c r="G7">
        <v>9415</v>
      </c>
      <c r="I7" s="2" t="s">
        <v>32</v>
      </c>
      <c r="J7">
        <v>32046.850000000002</v>
      </c>
      <c r="K7">
        <v>7390</v>
      </c>
      <c r="M7" t="s">
        <v>61</v>
      </c>
      <c r="O7">
        <f>AVERAGE(Table1[],'pivot tables'!N1:N301)</f>
        <v>340.59483611111148</v>
      </c>
    </row>
    <row r="8" spans="2:15" x14ac:dyDescent="0.25">
      <c r="B8" s="2" t="s">
        <v>38</v>
      </c>
      <c r="C8">
        <v>8681</v>
      </c>
      <c r="D8">
        <v>8188.54</v>
      </c>
      <c r="F8" s="2" t="s">
        <v>38</v>
      </c>
      <c r="G8">
        <v>11541</v>
      </c>
      <c r="I8" s="2" t="s">
        <v>34</v>
      </c>
      <c r="J8">
        <v>34624.44000000001</v>
      </c>
      <c r="K8">
        <v>6472</v>
      </c>
    </row>
    <row r="9" spans="2:15" x14ac:dyDescent="0.25">
      <c r="B9" s="2" t="s">
        <v>16</v>
      </c>
      <c r="C9">
        <v>8612</v>
      </c>
      <c r="D9">
        <v>7088.64</v>
      </c>
      <c r="F9" s="2" t="s">
        <v>16</v>
      </c>
      <c r="G9">
        <v>8709</v>
      </c>
      <c r="I9" s="2" t="s">
        <v>37</v>
      </c>
      <c r="J9">
        <v>50422.51999999999</v>
      </c>
      <c r="K9">
        <v>11757</v>
      </c>
    </row>
    <row r="10" spans="2:15" x14ac:dyDescent="0.25">
      <c r="B10" s="2" t="s">
        <v>43</v>
      </c>
      <c r="C10">
        <v>8841</v>
      </c>
      <c r="D10">
        <v>10337.130000000003</v>
      </c>
      <c r="F10" s="2" t="s">
        <v>43</v>
      </c>
      <c r="G10">
        <v>9195</v>
      </c>
      <c r="I10" s="2" t="s">
        <v>40</v>
      </c>
      <c r="J10">
        <v>20673.460000000003</v>
      </c>
      <c r="K10">
        <v>3912</v>
      </c>
    </row>
    <row r="11" spans="2:15" x14ac:dyDescent="0.25">
      <c r="B11" s="2" t="s">
        <v>47</v>
      </c>
      <c r="C11">
        <v>75402</v>
      </c>
      <c r="D11">
        <v>73923.91</v>
      </c>
      <c r="G11">
        <f>SUM(G3:G10)</f>
        <v>80667</v>
      </c>
      <c r="I11" s="2" t="s">
        <v>45</v>
      </c>
      <c r="J11">
        <v>35950.58</v>
      </c>
      <c r="K11">
        <v>4411</v>
      </c>
    </row>
    <row r="12" spans="2:15" x14ac:dyDescent="0.25">
      <c r="I12" s="2" t="s">
        <v>28</v>
      </c>
      <c r="J12">
        <v>30787.230000000003</v>
      </c>
      <c r="K12">
        <v>7358</v>
      </c>
    </row>
    <row r="13" spans="2:15" x14ac:dyDescent="0.25">
      <c r="I13" s="2" t="s">
        <v>18</v>
      </c>
      <c r="J13">
        <v>27000.120000000006</v>
      </c>
      <c r="K13">
        <v>6407</v>
      </c>
    </row>
    <row r="14" spans="2:15" x14ac:dyDescent="0.25">
      <c r="I14" s="2" t="s">
        <v>22</v>
      </c>
      <c r="J14">
        <v>25699.079999999998</v>
      </c>
      <c r="K14">
        <v>4228</v>
      </c>
    </row>
    <row r="15" spans="2:15" x14ac:dyDescent="0.25">
      <c r="I15" s="2" t="s">
        <v>47</v>
      </c>
      <c r="J15">
        <v>381958.27</v>
      </c>
      <c r="K15">
        <v>75402</v>
      </c>
    </row>
    <row r="17" spans="2:11" ht="27.6" x14ac:dyDescent="0.25">
      <c r="B17" s="1" t="s">
        <v>46</v>
      </c>
      <c r="C17" s="5" t="s">
        <v>53</v>
      </c>
      <c r="D17" s="5" t="s">
        <v>54</v>
      </c>
      <c r="F17" s="1" t="s">
        <v>46</v>
      </c>
      <c r="G17" t="s">
        <v>52</v>
      </c>
      <c r="I17" s="1" t="s">
        <v>46</v>
      </c>
      <c r="J17" t="s">
        <v>55</v>
      </c>
      <c r="K17" t="s">
        <v>56</v>
      </c>
    </row>
    <row r="18" spans="2:11" x14ac:dyDescent="0.25">
      <c r="B18" s="2" t="s">
        <v>20</v>
      </c>
      <c r="C18" s="3">
        <v>5.8043478260869561</v>
      </c>
      <c r="D18" s="4">
        <v>17.388043478260869</v>
      </c>
      <c r="F18" s="2" t="s">
        <v>23</v>
      </c>
      <c r="G18">
        <v>42670</v>
      </c>
      <c r="I18" s="2" t="s">
        <v>20</v>
      </c>
      <c r="J18">
        <v>3466.1399999999985</v>
      </c>
      <c r="K18">
        <v>11683</v>
      </c>
    </row>
    <row r="19" spans="2:11" x14ac:dyDescent="0.25">
      <c r="B19" s="2" t="s">
        <v>41</v>
      </c>
      <c r="C19" s="3">
        <v>4.9303448275862074</v>
      </c>
      <c r="D19" s="4">
        <v>18.360689655172408</v>
      </c>
      <c r="F19" s="2" t="s">
        <v>27</v>
      </c>
      <c r="G19">
        <v>57593</v>
      </c>
      <c r="I19" s="2" t="s">
        <v>41</v>
      </c>
      <c r="J19">
        <v>2081.09</v>
      </c>
      <c r="K19">
        <v>7746</v>
      </c>
    </row>
    <row r="20" spans="2:11" x14ac:dyDescent="0.25">
      <c r="B20" s="2" t="s">
        <v>36</v>
      </c>
      <c r="C20" s="3">
        <v>5.8131818181818176</v>
      </c>
      <c r="D20" s="4">
        <v>17.471590909090917</v>
      </c>
      <c r="F20" s="2" t="s">
        <v>33</v>
      </c>
      <c r="G20">
        <v>47851</v>
      </c>
      <c r="I20" s="2" t="s">
        <v>36</v>
      </c>
      <c r="J20">
        <v>3325.77</v>
      </c>
      <c r="K20">
        <v>11321</v>
      </c>
    </row>
    <row r="21" spans="2:11" x14ac:dyDescent="0.25">
      <c r="B21" s="2" t="s">
        <v>26</v>
      </c>
      <c r="C21" s="3">
        <v>5.9511111111111106</v>
      </c>
      <c r="D21" s="4">
        <v>17.115555555555559</v>
      </c>
      <c r="F21" s="2" t="s">
        <v>30</v>
      </c>
      <c r="G21">
        <v>55218</v>
      </c>
      <c r="I21" s="2" t="s">
        <v>26</v>
      </c>
      <c r="J21">
        <v>2731.3200000000011</v>
      </c>
      <c r="K21">
        <v>10251</v>
      </c>
    </row>
    <row r="22" spans="2:11" x14ac:dyDescent="0.25">
      <c r="B22" s="2" t="s">
        <v>42</v>
      </c>
      <c r="C22" s="3">
        <v>5.423947368421052</v>
      </c>
      <c r="D22" s="4">
        <v>18.151842105263157</v>
      </c>
      <c r="F22" s="2" t="s">
        <v>21</v>
      </c>
      <c r="G22">
        <v>54603</v>
      </c>
      <c r="I22" s="2" t="s">
        <v>42</v>
      </c>
      <c r="J22">
        <v>2876.8700000000003</v>
      </c>
      <c r="K22">
        <v>9634</v>
      </c>
    </row>
    <row r="23" spans="2:11" x14ac:dyDescent="0.25">
      <c r="B23" s="2" t="s">
        <v>38</v>
      </c>
      <c r="C23" s="3">
        <v>5.6872972972972979</v>
      </c>
      <c r="D23" s="4">
        <v>15.822432432432434</v>
      </c>
      <c r="F23" s="2" t="s">
        <v>17</v>
      </c>
      <c r="G23">
        <v>54550</v>
      </c>
      <c r="I23" s="2" t="s">
        <v>38</v>
      </c>
      <c r="J23">
        <v>2804.57</v>
      </c>
      <c r="K23">
        <v>9968</v>
      </c>
    </row>
    <row r="24" spans="2:11" x14ac:dyDescent="0.25">
      <c r="B24" s="2" t="s">
        <v>16</v>
      </c>
      <c r="C24" s="3">
        <v>5.4793750000000019</v>
      </c>
      <c r="D24" s="4">
        <v>16.791875000000005</v>
      </c>
      <c r="F24" s="2" t="s">
        <v>47</v>
      </c>
      <c r="G24">
        <v>312485</v>
      </c>
      <c r="I24" s="2" t="s">
        <v>16</v>
      </c>
      <c r="J24">
        <v>2355.2300000000009</v>
      </c>
      <c r="K24">
        <v>8448</v>
      </c>
    </row>
    <row r="25" spans="2:11" x14ac:dyDescent="0.25">
      <c r="B25" s="2" t="s">
        <v>43</v>
      </c>
      <c r="C25" s="3">
        <v>4.8215789473684207</v>
      </c>
      <c r="D25" s="4">
        <v>16.192105263157892</v>
      </c>
      <c r="I25" s="2" t="s">
        <v>43</v>
      </c>
      <c r="J25">
        <v>2887.1000000000004</v>
      </c>
      <c r="K25">
        <v>10142</v>
      </c>
    </row>
    <row r="26" spans="2:11" x14ac:dyDescent="0.25">
      <c r="C26" s="3">
        <f>AVERAGE(C18:C25)</f>
        <v>5.488898024506609</v>
      </c>
      <c r="I26" s="2" t="s">
        <v>47</v>
      </c>
      <c r="J26">
        <v>22528.090000000004</v>
      </c>
      <c r="K26">
        <v>79193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87F4-6771-4994-93FD-D1CF65D86A7A}">
  <dimension ref="A1"/>
  <sheetViews>
    <sheetView showGridLines="0" tabSelected="1" topLeftCell="A10" zoomScale="65" workbookViewId="0">
      <selection activeCell="Y55" sqref="Y55"/>
    </sheetView>
  </sheetViews>
  <sheetFormatPr defaultRowHeight="13.8"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lic_financial_analysis_2024_upd</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PATIL</dc:creator>
  <cp:lastModifiedBy>SAlLONI PATIL</cp:lastModifiedBy>
  <dcterms:created xsi:type="dcterms:W3CDTF">2025-01-03T10:29:27Z</dcterms:created>
  <dcterms:modified xsi:type="dcterms:W3CDTF">2025-03-10T10:39:28Z</dcterms:modified>
</cp:coreProperties>
</file>